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916CEAE1-8EE0-486C-B78B-AD505B9BF7FA}" xr6:coauthVersionLast="47" xr6:coauthVersionMax="47" xr10:uidLastSave="{00000000-0000-0000-0000-000000000000}"/>
  <bookViews>
    <workbookView xWindow="-98" yWindow="-98" windowWidth="21795" windowHeight="12975" tabRatio="703" firstSheet="2" activeTab="9" xr2:uid="{00000000-000D-0000-FFFF-FFFF00000000}"/>
  </bookViews>
  <sheets>
    <sheet name="Monetarios" sheetId="1" r:id="rId1"/>
    <sheet name="RF corto plazo" sheetId="2" r:id="rId2"/>
    <sheet name="RF medio plazo" sheetId="3" r:id="rId3"/>
    <sheet name="Renta Variable" sheetId="5" r:id="rId4"/>
    <sheet name="Renta Fija largo plazo" sheetId="4" r:id="rId5"/>
    <sheet name="ETFs" sheetId="10" r:id="rId6"/>
    <sheet name="Mixtos" sheetId="9" r:id="rId7"/>
    <sheet name="Alternativos" sheetId="7" r:id="rId8"/>
    <sheet name="Revisar" sheetId="11" r:id="rId9"/>
    <sheet name="Cartera1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6" l="1"/>
  <c r="H56" i="6"/>
  <c r="L108" i="6"/>
  <c r="L110" i="6" s="1"/>
  <c r="L112" i="6" s="1"/>
  <c r="L103" i="6"/>
  <c r="L105" i="6" s="1"/>
  <c r="H54" i="6"/>
  <c r="I54" i="6"/>
  <c r="F62" i="6" s="1"/>
  <c r="J63" i="6" s="1"/>
  <c r="I55" i="6"/>
  <c r="F65" i="6" s="1"/>
  <c r="J66" i="6" s="1"/>
  <c r="I56" i="6"/>
  <c r="F70" i="6" s="1"/>
  <c r="I57" i="6"/>
  <c r="F76" i="6" s="1"/>
  <c r="I58" i="6"/>
  <c r="F84" i="6" s="1"/>
  <c r="J86" i="6" s="1"/>
  <c r="H55" i="6"/>
  <c r="H57" i="6"/>
  <c r="H60" i="6" s="1"/>
  <c r="H58" i="6"/>
  <c r="B38" i="6"/>
  <c r="B37" i="6"/>
  <c r="J72" i="6" l="1"/>
  <c r="J68" i="6"/>
  <c r="J67" i="6"/>
  <c r="I60" i="6"/>
  <c r="J79" i="6"/>
  <c r="J78" i="6"/>
  <c r="J77" i="6"/>
  <c r="J85" i="6"/>
  <c r="J88" i="6"/>
  <c r="J87" i="6"/>
  <c r="J71" i="6"/>
  <c r="J74" i="6"/>
  <c r="J73" i="6"/>
</calcChain>
</file>

<file path=xl/sharedStrings.xml><?xml version="1.0" encoding="utf-8"?>
<sst xmlns="http://schemas.openxmlformats.org/spreadsheetml/2006/main" count="486" uniqueCount="375">
  <si>
    <t>La Francaise Tresorerie</t>
  </si>
  <si>
    <t>AXA Tresor Court Terme C</t>
  </si>
  <si>
    <t>Groupama Tresorerie</t>
  </si>
  <si>
    <t>FR0000991390</t>
  </si>
  <si>
    <t>FR0000447823</t>
  </si>
  <si>
    <t>FR0000989626</t>
  </si>
  <si>
    <t>Renta 4 Renta Fija 6M</t>
  </si>
  <si>
    <t>Blackrock Global Funds Euro Reserve Fund A2 Eur</t>
  </si>
  <si>
    <t>https://www.finect.com/fondos-inversion/FR0000989626-Groupama_tresorerie_ic</t>
  </si>
  <si>
    <t>Vol 12M</t>
  </si>
  <si>
    <t>R 12M</t>
  </si>
  <si>
    <t>https://www.finect.com/fondos-inversion/ES0128520006-Renta_4_renta_fija_6_meses_fi</t>
  </si>
  <si>
    <t>https://www.finect.com/fondos-inversion/LU0432365988-Bgf_euro_reserve_a2_eur</t>
  </si>
  <si>
    <t>LU0432365988</t>
  </si>
  <si>
    <t>https://www.finect.com/fondos-inversion/FR0000447823-Axa_tresor_court_terme_c</t>
  </si>
  <si>
    <t>https://www.finect.com/fondos-inversion/FR0000991390-La_francaise_tresorerie_isr_r</t>
  </si>
  <si>
    <t>ES0138045002</t>
  </si>
  <si>
    <t>Nombre</t>
  </si>
  <si>
    <t>Isin</t>
  </si>
  <si>
    <t>Link</t>
  </si>
  <si>
    <t>DWS Floating Rates</t>
  </si>
  <si>
    <t>https://www.finect.com/fondos-inversion/LU0034353002-Dws_floating_rate_notes_lc</t>
  </si>
  <si>
    <t>Carmignac Sécurité AW EUR Acc</t>
  </si>
  <si>
    <t>https://www.finect.com/fondos-inversion/FR0010149120-Carmignac_securite_aw_eur_acc</t>
  </si>
  <si>
    <t>LU0034353002</t>
  </si>
  <si>
    <t>FR0010149120</t>
  </si>
  <si>
    <t>https://www.finect.com/fondos-inversion/IE00B246KL88-Vanguard_20_yr__trs_idx__acc</t>
  </si>
  <si>
    <t>Vanguard 20+ Year Euro Treasury Index Fund EUR Acc</t>
  </si>
  <si>
    <t>https://www.finect.com/fondos-inversion/IE00B18GC888-Vanguard_global_bd_idx_eur_h_acc</t>
  </si>
  <si>
    <t>Vanguard Global Bond Index Fund EUR Hedged Acc</t>
  </si>
  <si>
    <t>IE00B18GC888</t>
  </si>
  <si>
    <t>Buy &amp; Hold Luxembourg B&amp;H Bond Class 2</t>
  </si>
  <si>
    <t>https://www.finect.com/fondos-inversion/LU2278574988-Buy__hold_luxembourg_bh_bond_class_2</t>
  </si>
  <si>
    <t>LU1988110927</t>
  </si>
  <si>
    <t>DNCA Invest Alpha Bonds A EUR</t>
  </si>
  <si>
    <t>https://www.finect.com/fondos-inversion/LU1694789451-Dnca_invest_alpha_bonds_a_eur</t>
  </si>
  <si>
    <t xml:space="preserve">LU1694789451 </t>
  </si>
  <si>
    <t>iShares $ Treasury Bond 20+yr UCITS ETF</t>
  </si>
  <si>
    <t>IE00BD8PGZ49</t>
  </si>
  <si>
    <t>IE00B246KL88</t>
  </si>
  <si>
    <t>https://www.finect.com/fondos-inversion/ES0140794001-Gamma_global_fi</t>
  </si>
  <si>
    <t>Gamma Global A FI</t>
  </si>
  <si>
    <t>ES0140794001</t>
  </si>
  <si>
    <t>https://www.finect.com/fondos-inversion/ES0176954008-Renta_4_renta_fija_r_fi</t>
  </si>
  <si>
    <t>Renta 4 Renta Fija R FI</t>
  </si>
  <si>
    <t>ES0176954008</t>
  </si>
  <si>
    <t>https://www.finect.com/fondos-inversion/IE0031786142-Vanguard_emerg_mkts_stk_idx_inv_eur_acc</t>
  </si>
  <si>
    <t>Vanguard Emerging Markets Stock Index Fund Investor EUR Accumulation</t>
  </si>
  <si>
    <t>Fidelity MSCI World Index Fund EUR P Acc</t>
  </si>
  <si>
    <t>https://www.finect.com/fondos-inversion/IE00BYX5NX33-Fidelity_msci_world_index_eur_p_acc</t>
  </si>
  <si>
    <t>IE00BYX5NX33</t>
  </si>
  <si>
    <t>Fidelity S&amp;P 500 Index Fund EUR P Acc</t>
  </si>
  <si>
    <t>https://www.finect.com/fondos-inversion/IE00BYX5MX67-Fidelity_sp_500_index_eur_p_acc</t>
  </si>
  <si>
    <t>IE00BYX5MX67</t>
  </si>
  <si>
    <t>Santander Rendimiento Cartera FI</t>
  </si>
  <si>
    <t>https://www.finect.com/fondos-inversion/ES0138534054-Santander_rendimiento_cartera_fi</t>
  </si>
  <si>
    <t>ES0138534054</t>
  </si>
  <si>
    <t>Fidelity Funds - Euro 50 Index Fund A-Acc-EUR</t>
  </si>
  <si>
    <t>LU0261952682</t>
  </si>
  <si>
    <t>https://www.finect.com/fondos-inversion/LU0261952682-Fidelity_euro_stoxx_50_aacceur</t>
  </si>
  <si>
    <t>https://www.finect.com/fondos-inversion/LU0468289250-Bgf_euro_short_duration_bond_i2_eur</t>
  </si>
  <si>
    <t>LU0468289250</t>
  </si>
  <si>
    <t>BlackRock Global Funds - Euro Short Duration Bond Fund I2 EUR</t>
  </si>
  <si>
    <t>https://www.finect.com/fondos-inversion/LU1623762843-Carmignac_pf_credit_a_eur_acc</t>
  </si>
  <si>
    <t>Carmignac Pf Credit A EUR Acc</t>
  </si>
  <si>
    <t>LU1623762843</t>
  </si>
  <si>
    <t>https://www.finect.com/fondos-inversion/LU0339661307-Robeco_qi_european_cnsrv_eqs_d_</t>
  </si>
  <si>
    <t>LU0339661307</t>
  </si>
  <si>
    <t>Robeco QI European Conservative Equities D €</t>
  </si>
  <si>
    <t>https://www.finect.com/fondos-inversion/FR0010016477-Candriam_index_arbitrage_classique_eur</t>
  </si>
  <si>
    <t>FR0010016477</t>
  </si>
  <si>
    <t>Candriam Index Arbitrage Classique en EUR</t>
  </si>
  <si>
    <t>Renta 4 Valor Relativo R FI</t>
  </si>
  <si>
    <t>https://www.finect.com/fondos-inversion/ES0128522002-Renta_4_valor_relativo_r_fi</t>
  </si>
  <si>
    <t>ES0128522002</t>
  </si>
  <si>
    <t>https://www.finect.com/fondos-inversion/LU0261952419-Fidelity_sust_glb_hlthcare_aacceur</t>
  </si>
  <si>
    <t>https://www.finect.com/fondos-inversion/IE0007471471-Vanguard_us_govt_bd_idx__h_acc</t>
  </si>
  <si>
    <t>https://www.finect.com/fondos-inversion/IE000VA5W9H0-Man_glg_glingd_opports_i_h_eur_acc</t>
  </si>
  <si>
    <t>Vanguard U.S. Government Bond Index Fund EUR Hedged Acc</t>
  </si>
  <si>
    <t>IE0007471471</t>
  </si>
  <si>
    <t xml:space="preserve">IE000MI53C66 </t>
  </si>
  <si>
    <t>Fidelity Funds - Sustainable Health Care Fund A-Acc-EUR</t>
  </si>
  <si>
    <t>IE00BSKRJX20</t>
  </si>
  <si>
    <t>ETF ISHARES EURO GOV 20Y TGT D (EUR)</t>
  </si>
  <si>
    <t>https://www.finect.com/etfs/IE00BSKRJX20-Ishares__govt_bond_20y_tgtdur_etf_dist</t>
  </si>
  <si>
    <t>https://www.finect.com/etfs/IE00BFM6TC58-Ishares__treasury_bd_20y_etf_usd_acc</t>
  </si>
  <si>
    <t>PICTET CHINA INDEX P ACC (EUR)</t>
  </si>
  <si>
    <t>LU0261952419</t>
  </si>
  <si>
    <t>LU0625737910</t>
  </si>
  <si>
    <t>https://www.finect.com/fondos-inversion/LU0625737910-Pictetchina_index_p_eur</t>
  </si>
  <si>
    <t>LU0309035441</t>
  </si>
  <si>
    <t>Pictet-Short-Term Money Market JPY P</t>
  </si>
  <si>
    <t>https://www.finect.com/fondos-inversion/LU0309035441-Pictetshortterm_money_market_jpy_p</t>
  </si>
  <si>
    <t>-</t>
  </si>
  <si>
    <t>https://www.finect.com/fondos-inversion/IE00BH65QP47-Vanguard_glb_st_bd_idx__h_acc</t>
  </si>
  <si>
    <t>Vanguard Global Short-Term Bond Index Fund EUR Hedged Acc</t>
  </si>
  <si>
    <t>IE00BH65QP47</t>
  </si>
  <si>
    <t>https://www.finect.com/fondos-inversion/FR0013508934-Amundi_enhanced_ult_sht_trm_bd_sri_r2</t>
  </si>
  <si>
    <t>https://www.finect.com/fondos-inversion/FR0011088657-Amundi_ultra_short_term_bond_sri_i_c</t>
  </si>
  <si>
    <t>Amundi Enhanced Ultra Short Term Bond SRI R2-C</t>
  </si>
  <si>
    <t>Amundi Ultra Short Term Bond SRI I C</t>
  </si>
  <si>
    <t>https://www.finect.com/fondos-inversion/FR0011071778-Ostrum_sri_credit_euro_13_rc</t>
  </si>
  <si>
    <t>Ostrum SRI Crédit Euro 1-3 R (C) EUR</t>
  </si>
  <si>
    <t>https://www.finect.com/fondos-inversion/LU0251661590-Axawf_euro_10__lt_e_cap_eur</t>
  </si>
  <si>
    <t>ES0128520006</t>
  </si>
  <si>
    <t>https://www.finect.com/fondos-inversion/IE00BYWYCC39-Ishares_emergmkts_idx_ie_d_acc_eur</t>
  </si>
  <si>
    <t>iShares Emerging Markets Index Fund (IE) D Acc EUR</t>
  </si>
  <si>
    <t>IE00BYWYCC39</t>
  </si>
  <si>
    <t>AXA World Funds - Euro Long Duration Bonds E Capitalisation EUR</t>
  </si>
  <si>
    <t>LU0251661590</t>
  </si>
  <si>
    <t>FR0010830885</t>
  </si>
  <si>
    <t>FR0011088657</t>
  </si>
  <si>
    <t>FR0011071778</t>
  </si>
  <si>
    <t>https://www.finect.com/fondos-inversion/LU0942882589-Sigma_inv_house_fcp_brightg_glb_inc_a_i</t>
  </si>
  <si>
    <t>Sigma Investment House FCP - BrightGate Global Income Fund A I</t>
  </si>
  <si>
    <t>LU0942882589</t>
  </si>
  <si>
    <t>https://www.finect.com/fondos-inversion/ES0138045051-Caixabank_monetario_rend_instituc_fi</t>
  </si>
  <si>
    <t>https://www.finect.com/fondos-inversion/LU0607220562-Schroder_isf_euro_corp_bd_a_acc_eur_h</t>
  </si>
  <si>
    <t>MAN GLGALPHASELECT "INH"</t>
  </si>
  <si>
    <t>https://www.finect.com/fondos-inversion/IE00BJQ2XG97-Man_glg_alpha_select_alt_inh_eur</t>
  </si>
  <si>
    <t>https://www.finect.com/fondos-inversion/LU1213836080-Fidelity_global_technology_aacceur</t>
  </si>
  <si>
    <t>https://www.finect.com/fondos-inversion/LU0210534227-Jpm_global_focus_a_acc_eur</t>
  </si>
  <si>
    <t>https://www.justetf.com/en/etf-profile.html?isin=LU1190417599#overview</t>
  </si>
  <si>
    <t>Caixabank Monetario Rendimiento Institucional FI</t>
  </si>
  <si>
    <t>Lyxor Smart Overnight Return UCITS ETF C-EUR</t>
  </si>
  <si>
    <t>LU1190417599</t>
  </si>
  <si>
    <t>Schroder International Selection Fund EURO Corporate Bond A Accumulation EUR Duration Hedged</t>
  </si>
  <si>
    <t>LU0607220562</t>
  </si>
  <si>
    <t>IE00B5ZNKR51</t>
  </si>
  <si>
    <t>JPMorgan Funds - Global Focus Fund A (acc) - EUR</t>
  </si>
  <si>
    <t>LU0210534227</t>
  </si>
  <si>
    <t>https://www.finect.com/fondos-inversion/DE000A0X7541-Acatis_value_event_fonds_a</t>
  </si>
  <si>
    <t>https://www.finect.com/fondos-inversion/LU1548497699-Allianz_global_artfcl_intlgc_at_eur</t>
  </si>
  <si>
    <t>https://www.finect.com/fondos-inversion/LU1931536152-Allianz_pet_and_animal_wlb_at_h2_eur</t>
  </si>
  <si>
    <t>https://www.finect.com/fondos-inversion/LU0170291933-Candriam_bds_global_hi_yld_c_eur_cap</t>
  </si>
  <si>
    <t>Candriam Bonds Global High Yield Class C EUR Cap</t>
  </si>
  <si>
    <t>https://www.finect.com/fondos-inversion/LU2482630675-Mg_total_return_crdt_invmt_p_eur_acc</t>
  </si>
  <si>
    <t>https://www.finect.com/fondos-inversion/LU0438373382-Bluebay_high_yield_esg_bond_m_eur</t>
  </si>
  <si>
    <t>IE0031786696</t>
  </si>
  <si>
    <t>https://www.finect.com/fondos-inversion/LU1164221589-Axawf_euro_credit_total_ret_f_cap_eur</t>
  </si>
  <si>
    <t>https://www.finect.com/fondos-inversion/FR0000027609-Lazard_euro_short_duration_sri_ic</t>
  </si>
  <si>
    <t>https://www.finect.com/fondos-inversion/ES0175414012-Dunas_valor_equilibrado_r_fi</t>
  </si>
  <si>
    <t>Monetario R4</t>
  </si>
  <si>
    <t>Monetario Myinvestor</t>
  </si>
  <si>
    <t>https://www.finect.com/fondos-inversion/IE00BFZMJT78-Neuberger_berman_ultr_st_er_bd_eur_iacc</t>
  </si>
  <si>
    <t>Neuberger Berman Ultra Short Term Euro Bond Fund Class EUR I Accumulating</t>
  </si>
  <si>
    <t>IE00BFZMJT78</t>
  </si>
  <si>
    <t>https://www.finect.com/fondos-inversion/LU1984712320-Janus_henderson_hrzn_glb_sc_a2_eur_acc</t>
  </si>
  <si>
    <t>https://www.finect.com/fondos-inversion/LU0352158918-Ubam_dynamic_us_dollar_bond_ahc_eur</t>
  </si>
  <si>
    <t>https://www.finect.com/fondos-inversion/LU1001748398-Jpm_europe_eq_abs_alp_c_perf_acc_eur</t>
  </si>
  <si>
    <t>Tipos de Inversiones</t>
  </si>
  <si>
    <t>1. Inmuebles</t>
  </si>
  <si>
    <t>https://youtu.be/Ld5HVQY30fY</t>
  </si>
  <si>
    <t>Siempre y cuando te lo permita el apalancamiento, adquirir nuevos.</t>
  </si>
  <si>
    <t>Cosas a saber</t>
  </si>
  <si>
    <t>Ratios minimos Compra/alquiler</t>
  </si>
  <si>
    <t>Precio</t>
  </si>
  <si>
    <t>Alquiler</t>
  </si>
  <si>
    <t>Finaciación</t>
  </si>
  <si>
    <t>Cuanto más largo plazo mejor</t>
  </si>
  <si>
    <t>Myinvestor:</t>
  </si>
  <si>
    <t>codigo: pizarra</t>
  </si>
  <si>
    <t>Cuanto más dinero mejor</t>
  </si>
  <si>
    <t>Tipo más bajo posible (fijo)</t>
  </si>
  <si>
    <t>Hipotecas fijas al 2%</t>
  </si>
  <si>
    <t>2. Ahorro remunerado / Fondo Monetarios</t>
  </si>
  <si>
    <t>https://youtu.be/GJCm99xWUJE</t>
  </si>
  <si>
    <t>https://youtu.be/UseVRu7tVpQ</t>
  </si>
  <si>
    <t>En caso de caidas fuertes en la RV, utilizar parte del dinero de monetarios para compras adicionales</t>
  </si>
  <si>
    <t>4. Renta Fija / Bonos / Inversión de medio plazo</t>
  </si>
  <si>
    <t>Deja de ser atractiva con los tipos de Europa muy bajos (&lt;1,5%-2%)</t>
  </si>
  <si>
    <t>https://youtu.be/bkYK-akFam4</t>
  </si>
  <si>
    <t>Pestañas</t>
  </si>
  <si>
    <t>RF Corto Plazo</t>
  </si>
  <si>
    <t>Hermano mayor del FM, para bsucar retornos del 5%-6% con bajo riesgo</t>
  </si>
  <si>
    <t>RF Medio Plazo</t>
  </si>
  <si>
    <t>RF con riesgo medio, para buscar retornos del 7%-8%</t>
  </si>
  <si>
    <t>UBAM - Dynamic US Dollar Bond AHC EUR</t>
  </si>
  <si>
    <t>LU0352158918</t>
  </si>
  <si>
    <t>EVERCAPITAL INVESTMN I ACC EUR</t>
  </si>
  <si>
    <t>LU1953238794</t>
  </si>
  <si>
    <t>https://www.finect.com/fondos-inversion/IE00BMYPM319-Blackrock_euro_ultra_shrt_cor_bdfdacceur</t>
  </si>
  <si>
    <t>AB INTL HEALTH CARE I ACC EUR (EUR)</t>
  </si>
  <si>
    <t>AMRC SMALLER COMPANIES IE EUR (EUR)</t>
  </si>
  <si>
    <t>ELEVA EUROPEAN SELECTION I EUR (EUR)</t>
  </si>
  <si>
    <t>GQG EM MARKET EQUITY R EUR ACC (EUR)</t>
  </si>
  <si>
    <t>INDEX MSCI EUROPE IE ACC EUR (EUR)</t>
  </si>
  <si>
    <t>INDEX S&amp;P 500 IE ACC EUR (EUR)</t>
  </si>
  <si>
    <t>ISHARES WORLD EQ IDX D2 AC EUR (EUR)</t>
  </si>
  <si>
    <t>PICTET EMERG MKTS INDEX I EUR (EUR)</t>
  </si>
  <si>
    <t>POLAR GLBL TECHNOLOGY I ACC EU (EUR)</t>
  </si>
  <si>
    <t>SISF JAPANESE OPPOR C ACC EUR (EUR)</t>
  </si>
  <si>
    <t>US PREMIUM EQUITIES IH ACC EUR (EUR)</t>
  </si>
  <si>
    <t>US STRUCTUR RESEARCH EQ IN EUR (EUR)</t>
  </si>
  <si>
    <t>MARCH NEXT GENERATION FI B ACC (EUR)</t>
  </si>
  <si>
    <t>EURIZON BD USD LTE Z ACC EUR (EUR)</t>
  </si>
  <si>
    <t>GIS EURO BOND BX EUR (EUR)</t>
  </si>
  <si>
    <t>GLB SHRT DRTN INVST H ACC EUR (EUR)</t>
  </si>
  <si>
    <t>JPM ESG EMU GO IG 3-5Y ACC EUR (EUR)</t>
  </si>
  <si>
    <t>JUPITER DYN BOND I ACC EUR (EUR)</t>
  </si>
  <si>
    <t>MARCH GREEN TRANSITION BD C AC (EUR)</t>
  </si>
  <si>
    <t>SISF EURO CORP BND IZ ACC EUR (EUR)</t>
  </si>
  <si>
    <t>MARCH RENTA FIJA CP C EUR ACC (EUR)</t>
  </si>
  <si>
    <t>INVEST ALPHA BONDS N ACC EUR (EUR)</t>
  </si>
  <si>
    <t>OYSTER BM ALTERNATIVOS R AC EU (EUR)</t>
  </si>
  <si>
    <t>GROUPAMA ENTREPRISE RC ACC EUR (EUR)</t>
  </si>
  <si>
    <t>GUINNESS GLOBAL EQUITY INCOME D EUR ACC</t>
  </si>
  <si>
    <t>IE00BDGV0290</t>
  </si>
  <si>
    <t>Ejemplo compra de Groupama min 13:30</t>
  </si>
  <si>
    <t>https://www.finect.com/fondos-inversion/LU0217390573-Jpm_pacific_equity_a_acc_eur</t>
  </si>
  <si>
    <t>https://www.finect.com/fondos-inversion/ES0157935000-Acacia_renta_dinamica_fi</t>
  </si>
  <si>
    <t>BlackRock Euro Ultra Short Core Bond Fund Accumulating EUR</t>
  </si>
  <si>
    <t>IE00BMYPM319</t>
  </si>
  <si>
    <t>FI0008811997</t>
  </si>
  <si>
    <t>Evli Nordic Corporate Bond B</t>
  </si>
  <si>
    <t>FR0000027609</t>
  </si>
  <si>
    <t>LAZARD EUR SHORT DUR SRI IC</t>
  </si>
  <si>
    <t>https://www.finect.com/fondos-inversion/ES0175437005-Dunas_valor_prudente_r_fi</t>
  </si>
  <si>
    <t>LU1706854152</t>
  </si>
  <si>
    <t>https://www.finect.com/fondos-inversion/LU1706854152-Amundi_sf_diversified_st_bd_a_eur_nd</t>
  </si>
  <si>
    <t>Amundi S.F. - Diversified Short-Term Bond A EUR ND</t>
  </si>
  <si>
    <t>Man Funds plc - Man Global Investment Grade Opportunities D H EUR</t>
  </si>
  <si>
    <t>LU0170291933</t>
  </si>
  <si>
    <t>LU0438373382</t>
  </si>
  <si>
    <t>BlueBay Funds - BlueBay High Yield ESG Bond Fund M - EUR</t>
  </si>
  <si>
    <t>GAM Star Fund plc - GAM Star Cat Bond Class Ordinary EUR Accumulation Hedged</t>
  </si>
  <si>
    <t>https://www.finect.com/fondos-inversion/IE00B3Q8M574-Gam_star_cat_bond_ord_eur_acc</t>
  </si>
  <si>
    <t>IE00B3Q8M574</t>
  </si>
  <si>
    <t>https://www.finect.com/fondos-inversion/FI0008811997-Evli_nordic_corporate_bond_b</t>
  </si>
  <si>
    <t>JPMorgan Funds - Pacific Equity Fund A (acc) - EUR</t>
  </si>
  <si>
    <t>LU0217390573</t>
  </si>
  <si>
    <t>Fidelity Funds - Global Technology Fund A-Acc-EUR</t>
  </si>
  <si>
    <t>Jupiter India Select Class L EUR Acc</t>
  </si>
  <si>
    <t>LU0329070915</t>
  </si>
  <si>
    <t>https://www.finect.com/fondos-inversion/LU0329070915-Jupiter_india_select_l_eur_acc</t>
  </si>
  <si>
    <t>Allianz Global Investors Fund - Allianz Global Artificial Intelligence AT EUR</t>
  </si>
  <si>
    <t>LU1548497699</t>
  </si>
  <si>
    <t>LU1984712320</t>
  </si>
  <si>
    <t>Allianz Pet and Animal Wellbeing AT H2 EUR</t>
  </si>
  <si>
    <t>LU1931536152LU1931536152</t>
  </si>
  <si>
    <t>Janus Henderson Horizon Global Smaller Companies Fund A2 EUR</t>
  </si>
  <si>
    <t>https://www.finect.com/fondos-inversion/IE00BDGV0290-Guinness_global_equity_income_d_eur_acc</t>
  </si>
  <si>
    <t>https://www.finect.com/fondos-inversion/IE00BH480S68-Gqg_partners_global_equity_i_eur_acc</t>
  </si>
  <si>
    <t>GQG Partners Global Equity Fund Class I Euro Accumulating</t>
  </si>
  <si>
    <t>IE00BH480S68</t>
  </si>
  <si>
    <t>ES0124880032</t>
  </si>
  <si>
    <t>https://www.finect.com/fondos-inversion/ES0124880032-Cs_renta_fija_05_b_fi</t>
  </si>
  <si>
    <t>UBS Renta Fija 0-5 B FI</t>
  </si>
  <si>
    <t>https://www.finect.com/fondos-inversion/ES0112611001-Azvalor_internacional_fi</t>
  </si>
  <si>
    <t>ES0112611001</t>
  </si>
  <si>
    <t>Azvalor Internacional FI</t>
  </si>
  <si>
    <t>https://www.finect.com/fondos-inversion/ES0112231008-Avantage_fund_a_fi</t>
  </si>
  <si>
    <t>https://www.finect.com/fondos-inversion/ES0119199000-Cobas_internacional_c_fi</t>
  </si>
  <si>
    <t>Cobas Internacional C FI</t>
  </si>
  <si>
    <t>ES0119199000</t>
  </si>
  <si>
    <t>https://www.finect.com/fondos-inversion/ES0114638036-Bestinver_internacional_fi</t>
  </si>
  <si>
    <t>ES0114638036</t>
  </si>
  <si>
    <t>Bestinver Internacional FI</t>
  </si>
  <si>
    <t>https://www.finect.com/fondos-inversion/ES0173311103-Renta_4_multigestion_num_patr_glb_fi</t>
  </si>
  <si>
    <t>ES0173311103</t>
  </si>
  <si>
    <t>Renta 4 Multigestión Numantia Patrimonio Global FI</t>
  </si>
  <si>
    <t>iShares € Govt Bond 20yr Target Duration UCITS ETF</t>
  </si>
  <si>
    <t>E20Y</t>
  </si>
  <si>
    <t>PPFB</t>
  </si>
  <si>
    <t>iShares Physical Gold ETC</t>
  </si>
  <si>
    <t>https://www.finect.com/etfs/IE00B4ND3602-Ishares_physical_gold_etc</t>
  </si>
  <si>
    <t>iShares Core MSCI World UCITS ETF USD (Acc)</t>
  </si>
  <si>
    <t>EUNL</t>
  </si>
  <si>
    <t>https://www.finect.com/etfs/IE00B4L5Y983-Ishares_core_msci_world_etf_usd_acc</t>
  </si>
  <si>
    <t>Fidelity Physical Bitcoin ETP</t>
  </si>
  <si>
    <t>https://www.finect.com/etfs/XS2434891219-Fidelity_physical_bitcoin_etp</t>
  </si>
  <si>
    <t>XS2434891219 / FBTCG</t>
  </si>
  <si>
    <t>VanEck Defense ETF A USD Acc</t>
  </si>
  <si>
    <t>IE000YYE6WK5</t>
  </si>
  <si>
    <t>https://www.finect.com/etfs/IE000YYE6WK5-Vaneck_defense_etf_a_usd_acc</t>
  </si>
  <si>
    <t>Multi Units Luxembourg - Amundi Smart Overnight Return UCITS ETF Acc</t>
  </si>
  <si>
    <t>https://www.finect.com/etfs/LU1190417599-Lyxor_smart_overnight_return_etf_c_eur</t>
  </si>
  <si>
    <t>European Specialist Investment Funds - M&amp;G Total Return Credit Investment Fund P EUR Acc</t>
  </si>
  <si>
    <t>LU2482630675</t>
  </si>
  <si>
    <t>AXA World Funds - Euro Credit Total Return F Capitalisation EUR</t>
  </si>
  <si>
    <t>LU1164221589</t>
  </si>
  <si>
    <t>ES0175414012</t>
  </si>
  <si>
    <t>Dunas Valor Equilibrado R FI</t>
  </si>
  <si>
    <t>JPMorgan Funds - Europe Equity Absolute Alpha Fund C (perf) (acc) - EUR</t>
  </si>
  <si>
    <t>LU1001748398</t>
  </si>
  <si>
    <t>Acacia Renta Dinámica Origen FI</t>
  </si>
  <si>
    <t>ES0157935000</t>
  </si>
  <si>
    <t>Xtrackers II Eurozone Government Bond 25+ UCITS ETF 1C</t>
  </si>
  <si>
    <t>LU0290357846</t>
  </si>
  <si>
    <t>https://www.finect.com/etfs/LU0290357846-Xtrackers_ii_euroz_govt_bd_25_etf_1c</t>
  </si>
  <si>
    <t>https://www.finect.com/fondos-inversion/LU1953238877-Ec_sicav_evercapital_invms_ucits_i_ins_i</t>
  </si>
  <si>
    <t>ES0175437005</t>
  </si>
  <si>
    <t>Dunas Valor Prudente R FI</t>
  </si>
  <si>
    <t>DE000A0X7541</t>
  </si>
  <si>
    <t>Acatis Value Event Fonds A</t>
  </si>
  <si>
    <t>ES0112231008</t>
  </si>
  <si>
    <t>Avantage Fund A FI</t>
  </si>
  <si>
    <t>Invesco Funds - Invesco Pan European High Income Fund A Accumulation EUR</t>
  </si>
  <si>
    <t>LU0243957239</t>
  </si>
  <si>
    <t>https://www.finect.com/fondos-inversion/LU0243957239-Invesco_pan_european_hi_inc_a_eur_acc</t>
  </si>
  <si>
    <t>https://www.finect.com/fondos-inversion/LU1317704051-Carmignac_pf_ls_eurp_eqs_a_eur_acc</t>
  </si>
  <si>
    <t>Carmignac Portfolio Long-Short European Equities A EUR Acc</t>
  </si>
  <si>
    <t>LU1317704051</t>
  </si>
  <si>
    <t>BlackRock Strategic Fds - BlackRock Systematic Asia Pacific Equity Absolute Return Fd A2 EUR Hedged</t>
  </si>
  <si>
    <t>LU1508158430</t>
  </si>
  <si>
    <t>https://www.finect.com/fondos-inversion/LU1508158430-Bsf_asia_pacific_divers_eq_ar_a2_eur_h</t>
  </si>
  <si>
    <t>https://www.finect.com/fondos-inversion/LU0524465548-Alken_small_cap_europe_a</t>
  </si>
  <si>
    <t>Alken Fund - Small Cap Europe Class A</t>
  </si>
  <si>
    <t>LU0524465548</t>
  </si>
  <si>
    <t>Explicación fondos monetarios</t>
  </si>
  <si>
    <t xml:space="preserve">Máxima rentabilidad que puedes obtener del activo libre de riesgo. No es una promoción (puedes estar el tiempo que quieras). Difieres impuestos (no pagas hasta que vendes). Liquidez diaria. </t>
  </si>
  <si>
    <t>3. Inversión a largo plazo / Fondos Indexados (RV)</t>
  </si>
  <si>
    <t>Inversión en empresas de primer nivel a largo plazo (con riesgo) para hacer la bola de nieve del interés compuesto.</t>
  </si>
  <si>
    <t>https://www.youtube.com/watch?v=Au98IMqZV7U</t>
  </si>
  <si>
    <t>Automatizando indexados en myinvestor</t>
  </si>
  <si>
    <t>http://www.moneychimp.com/international/es/calculator/compound_interest_calculator.htm</t>
  </si>
  <si>
    <t>JupiterMerian Global Equity Absolute Return Fund L (EUR) Hedged Acc</t>
  </si>
  <si>
    <t>https://www.finect.com/fondos-inversion/IE00BLP5S460-Jupitermerian_glb_eq_absrt_l__h_acc</t>
  </si>
  <si>
    <t>IE00BLP5S460</t>
  </si>
  <si>
    <t>https://www.finect.com/fondos-inversion/FI4000066915-Evli_emerging_frontier_b</t>
  </si>
  <si>
    <t>https://www.finect.com/fondos-inversion/ES0112618006-Bh_deuda_fi</t>
  </si>
  <si>
    <t>https://www.finect.com/fondos-inversion/LU1084165056-Fidelity_global_equity_inc_amincgeur</t>
  </si>
  <si>
    <t>https://www.finect.com/fondos-inversion/LU0329355670-Robeco_qi_em_active_equities_d_</t>
  </si>
  <si>
    <t>https://www.finect.com/etfs/LU1834987973-Lyxor_stoxx_europe_600_insurance_etf</t>
  </si>
  <si>
    <t>https://www.finect.com/fondos-inversion/LU2416422751-Vontobel_credit_opps_hi_hdg_eur_cap</t>
  </si>
  <si>
    <t>https://www.finect.com/fondos-inversion/LU1662496279-Aqr_systematic_total_return_ucits_raeft</t>
  </si>
  <si>
    <t>LU0346389348 </t>
  </si>
  <si>
    <t>https://www.finect.com/fondos-inversion/LU2098119287-Tikehau_short_duration_sf_eur_acc</t>
  </si>
  <si>
    <t>LU1585265066</t>
  </si>
  <si>
    <t>https://www.finect.com/fondos-inversion/IE00BZ005D22-Aegon_european_abs_b_eur_acc</t>
  </si>
  <si>
    <t>LU1670722161</t>
  </si>
  <si>
    <t>ES0112618006</t>
  </si>
  <si>
    <t>B&amp;H Deuda FI</t>
  </si>
  <si>
    <t>Tikehau Short Duration Fund SF EUR Acc</t>
  </si>
  <si>
    <t>Aegon European ABS Fund B EUR Acc</t>
  </si>
  <si>
    <t>IE00BZ005D22</t>
  </si>
  <si>
    <t>https://www.finect.com/fondos-inversion/LU1670722161-Mg_lux_glb_fl_rt_hy_a_h_eur_acc</t>
  </si>
  <si>
    <t>M&amp;G (Lux) Global Floating Rate High Yield Fund EUR A-H Acc</t>
  </si>
  <si>
    <t>FI4000066915</t>
  </si>
  <si>
    <t>Evli Emerging Frontier B</t>
  </si>
  <si>
    <t>Fidelity Funds - Global Equity Income Fund A-MINCOME(G)-EUR</t>
  </si>
  <si>
    <t>LU1084165056</t>
  </si>
  <si>
    <t>LU0329355670</t>
  </si>
  <si>
    <t>Robeco QI Emerging Markets Active Equities D €</t>
  </si>
  <si>
    <t>LU1834987973</t>
  </si>
  <si>
    <t>Multi Units Luxembourg - Amundi STOXX Europe 600 Insurance UCITS ETF Acc</t>
  </si>
  <si>
    <t>Vontobel Fund Credit Opportunities HI (hedged) EUR Cap</t>
  </si>
  <si>
    <t>LU2416422751</t>
  </si>
  <si>
    <t>AQR Apex UCITS Fund RAEFT EUR Acc</t>
  </si>
  <si>
    <t>LU1662496279</t>
  </si>
  <si>
    <t>Monetarios</t>
  </si>
  <si>
    <t>RF Corto</t>
  </si>
  <si>
    <t>RF Medio</t>
  </si>
  <si>
    <t>RV</t>
  </si>
  <si>
    <t>Alternativos</t>
  </si>
  <si>
    <t>Retorno esperado</t>
  </si>
  <si>
    <t>Pesos</t>
  </si>
  <si>
    <t>Rentabilidad cartera</t>
  </si>
  <si>
    <t>https://www.finect.com/fondos-inversion/LU0115763970-Fidelity_em_mkts_eacceur</t>
  </si>
  <si>
    <t>LU1953144208</t>
  </si>
  <si>
    <t>Inversion de bajo riesgo, ideal para superar la inflación y moverte a otras cosas en caso de que lo desees</t>
  </si>
  <si>
    <t>Ganar dinero con la mitad de volatilidad que la RV</t>
  </si>
  <si>
    <t>Máxima rentabilidad y riesgo, ideal para largo plazo. Recomprar si cae.</t>
  </si>
  <si>
    <t>Ganar dinero mientras bajas el riesgo de la cartera. Maxima diversificación</t>
  </si>
  <si>
    <t>Liquidez sin riesgo, ideal para sacar dinero</t>
  </si>
  <si>
    <t>ES0140072002</t>
  </si>
  <si>
    <t>Ábaco Renta Fija Mixta Global I FI</t>
  </si>
  <si>
    <t>https://www.finect.com/fondos-inversion/ES0140072002-Abaco_renta_fija_mixta_global_i_fi</t>
  </si>
  <si>
    <t>Pones</t>
  </si>
  <si>
    <t>Costes</t>
  </si>
  <si>
    <t>Obtienes</t>
  </si>
  <si>
    <t>riesgo bajo</t>
  </si>
  <si>
    <t>riesgo medio</t>
  </si>
  <si>
    <t>riesgo alto</t>
  </si>
  <si>
    <t>Heptagon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</si>
</sst>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333B"/>
      <name val="Calibri"/>
      <family val="2"/>
    </font>
    <font>
      <sz val="8"/>
      <name val="Arial"/>
      <family val="2"/>
    </font>
    <font>
      <sz val="8"/>
      <color theme="1"/>
      <name val="Arial Nova Light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9">
    <xf numFmtId="0" fontId="0" fillId="0" borderId="0" xfId="0"/>
    <xf numFmtId="10" fontId="0" fillId="0" borderId="0" xfId="0" applyNumberFormat="1"/>
    <xf numFmtId="0" fontId="1" fillId="0" borderId="0" xfId="1"/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9" fontId="0" fillId="0" borderId="0" xfId="0" applyNumberFormat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1" fillId="4" borderId="0" xfId="1" applyFill="1"/>
    <xf numFmtId="10" fontId="0" fillId="4" borderId="0" xfId="0" applyNumberFormat="1" applyFill="1"/>
    <xf numFmtId="0" fontId="0" fillId="5" borderId="0" xfId="0" applyFill="1"/>
    <xf numFmtId="0" fontId="1" fillId="5" borderId="0" xfId="1" applyFill="1"/>
    <xf numFmtId="10" fontId="0" fillId="5" borderId="0" xfId="0" applyNumberFormat="1" applyFill="1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10" fontId="1" fillId="0" borderId="0" xfId="1" applyNumberFormat="1"/>
    <xf numFmtId="0" fontId="0" fillId="6" borderId="0" xfId="0" applyFill="1"/>
    <xf numFmtId="0" fontId="1" fillId="6" borderId="0" xfId="1" applyFill="1"/>
    <xf numFmtId="10" fontId="0" fillId="6" borderId="0" xfId="0" applyNumberFormat="1" applyFill="1"/>
    <xf numFmtId="164" fontId="0" fillId="0" borderId="0" xfId="0" applyNumberFormat="1"/>
    <xf numFmtId="10" fontId="0" fillId="0" borderId="0" xfId="2" applyNumberFormat="1" applyFont="1"/>
    <xf numFmtId="9" fontId="0" fillId="7" borderId="0" xfId="0" applyNumberFormat="1" applyFill="1"/>
    <xf numFmtId="0" fontId="0" fillId="7" borderId="0" xfId="0" applyFill="1"/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575558</xdr:colOff>
      <xdr:row>93</xdr:row>
      <xdr:rowOff>23813</xdr:rowOff>
    </xdr:from>
    <xdr:to>
      <xdr:col>10</xdr:col>
      <xdr:colOff>161423</xdr:colOff>
      <xdr:row>126</xdr:row>
      <xdr:rowOff>73207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C0195-47B9-A830-3DA5-AF2A366F0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558" y="17035463"/>
          <a:ext cx="10349115" cy="6021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ect.com/fondos-inversion/FR0000447823-Axa_tresor_court_terme_c" TargetMode="External"/><Relationship Id="rId3" Type="http://schemas.openxmlformats.org/officeDocument/2006/relationships/hyperlink" Target="https://www.finect.com/fondos-inversion/ES0138534054-Santander_rendimiento_cartera_fi" TargetMode="External"/><Relationship Id="rId7" Type="http://schemas.openxmlformats.org/officeDocument/2006/relationships/hyperlink" Target="https://www.finect.com/fondos-inversion/ES0138045051-Caixabank_monetario_rend_instituc_fi" TargetMode="External"/><Relationship Id="rId2" Type="http://schemas.openxmlformats.org/officeDocument/2006/relationships/hyperlink" Target="https://www.finect.com/fondos-inversion/ES0128520006-Renta_4_renta_fija_6_meses_fi" TargetMode="External"/><Relationship Id="rId1" Type="http://schemas.openxmlformats.org/officeDocument/2006/relationships/hyperlink" Target="https://www.finect.com/fondos-inversion/FR0000989626-Groupama_tresorerie_ic" TargetMode="External"/><Relationship Id="rId6" Type="http://schemas.openxmlformats.org/officeDocument/2006/relationships/hyperlink" Target="https://www.justetf.com/en/etf-profile.html?isin=LU1190417599" TargetMode="External"/><Relationship Id="rId5" Type="http://schemas.openxmlformats.org/officeDocument/2006/relationships/hyperlink" Target="https://www.finect.com/fondos-inversion/LU0309035441-Pictetshortterm_money_market_jpy_p" TargetMode="External"/><Relationship Id="rId10" Type="http://schemas.openxmlformats.org/officeDocument/2006/relationships/hyperlink" Target="https://www.finect.com/fondos-inversion/IE00BMYPM319-Blackrock_euro_ultra_shrt_cor_bdfdacceur" TargetMode="External"/><Relationship Id="rId4" Type="http://schemas.openxmlformats.org/officeDocument/2006/relationships/hyperlink" Target="https://www.finect.com/fondos-inversion/FR0000991390-La_francaise_tresorerie_isr_r" TargetMode="External"/><Relationship Id="rId9" Type="http://schemas.openxmlformats.org/officeDocument/2006/relationships/hyperlink" Target="https://www.finect.com/fondos-inversion/LU0432365988-Bgf_euro_reserve_a2_eu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ect.com/fondos-inversion/FR0011071778-Ostrum_sri_credit_euro_13_rc" TargetMode="External"/><Relationship Id="rId13" Type="http://schemas.openxmlformats.org/officeDocument/2006/relationships/hyperlink" Target="https://www.finect.com/fondos-inversion/IE00B3Q8M574-Gam_star_cat_bond_ord_eur_acc" TargetMode="External"/><Relationship Id="rId18" Type="http://schemas.openxmlformats.org/officeDocument/2006/relationships/hyperlink" Target="https://www.finect.com/fondos-inversion/IE00BZ005D22-Aegon_european_abs_b_eur_acc" TargetMode="External"/><Relationship Id="rId3" Type="http://schemas.openxmlformats.org/officeDocument/2006/relationships/hyperlink" Target="https://www.finect.com/fondos-inversion/LU0468289250-Bgf_euro_short_duration_bond_i2_eur" TargetMode="External"/><Relationship Id="rId7" Type="http://schemas.openxmlformats.org/officeDocument/2006/relationships/hyperlink" Target="https://www.finect.com/fondos-inversion/FR0011088657-Amundi_ultra_short_term_bond_sri_i_c" TargetMode="External"/><Relationship Id="rId12" Type="http://schemas.openxmlformats.org/officeDocument/2006/relationships/hyperlink" Target="https://www.finect.com/fondos-inversion/LU1706854152-Amundi_sf_diversified_st_bd_a_eur_nd" TargetMode="External"/><Relationship Id="rId17" Type="http://schemas.openxmlformats.org/officeDocument/2006/relationships/hyperlink" Target="https://www.finect.com/fondos-inversion/LU2098119287-Tikehau_short_duration_sf_eur_acc" TargetMode="External"/><Relationship Id="rId2" Type="http://schemas.openxmlformats.org/officeDocument/2006/relationships/hyperlink" Target="https://www.finect.com/fondos-inversion/ES0176954008-Renta_4_renta_fija_r_fi" TargetMode="External"/><Relationship Id="rId16" Type="http://schemas.openxmlformats.org/officeDocument/2006/relationships/hyperlink" Target="https://www.finect.com/fondos-inversion/FI0008811997-Evli_nordic_corporate_bond_b" TargetMode="External"/><Relationship Id="rId1" Type="http://schemas.openxmlformats.org/officeDocument/2006/relationships/hyperlink" Target="https://www.finect.com/fondos-inversion/LU0034353002-Dws_floating_rate_notes_lc" TargetMode="External"/><Relationship Id="rId6" Type="http://schemas.openxmlformats.org/officeDocument/2006/relationships/hyperlink" Target="https://www.finect.com/fondos-inversion/FR0013508934-Amundi_enhanced_ult_sht_trm_bd_sri_r2" TargetMode="External"/><Relationship Id="rId11" Type="http://schemas.openxmlformats.org/officeDocument/2006/relationships/hyperlink" Target="https://www.finect.com/fondos-inversion/FR0000027609-Lazard_euro_short_duration_sri_ic" TargetMode="External"/><Relationship Id="rId5" Type="http://schemas.openxmlformats.org/officeDocument/2006/relationships/hyperlink" Target="https://www.finect.com/fondos-inversion/IE00BH65QP47-Vanguard_glb_st_bd_idx__h_acc" TargetMode="External"/><Relationship Id="rId15" Type="http://schemas.openxmlformats.org/officeDocument/2006/relationships/hyperlink" Target="https://www.finect.com/fondos-inversion/ES0112618006-Bh_deuda_fi" TargetMode="External"/><Relationship Id="rId10" Type="http://schemas.openxmlformats.org/officeDocument/2006/relationships/hyperlink" Target="https://www.finect.com/fondos-inversion/LU0352158918-Ubam_dynamic_us_dollar_bond_ahc_eur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finect.com/fondos-inversion/FR0010149120-Carmignac_securite_aw_eur_acc" TargetMode="External"/><Relationship Id="rId9" Type="http://schemas.openxmlformats.org/officeDocument/2006/relationships/hyperlink" Target="https://www.finect.com/fondos-inversion/IE00BFZMJT78-Neuberger_berman_ultr_st_er_bd_eur_iacc" TargetMode="External"/><Relationship Id="rId14" Type="http://schemas.openxmlformats.org/officeDocument/2006/relationships/hyperlink" Target="https://www.finect.com/fondos-inversion/ES0124880032-Cs_renta_fija_05_b_fi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ect.com/fondos-inversion/LU0170291933-Candriam_bds_global_hi_yld_c_eur_cap" TargetMode="External"/><Relationship Id="rId3" Type="http://schemas.openxmlformats.org/officeDocument/2006/relationships/hyperlink" Target="https://www.finect.com/fondos-inversion/LU1623762843-Carmignac_pf_credit_a_eur_acc" TargetMode="External"/><Relationship Id="rId7" Type="http://schemas.openxmlformats.org/officeDocument/2006/relationships/hyperlink" Target="https://www.finect.com/fondos-inversion/LU0942882589-Sigma_inv_house_fcp_brightg_glb_inc_a_i" TargetMode="External"/><Relationship Id="rId2" Type="http://schemas.openxmlformats.org/officeDocument/2006/relationships/hyperlink" Target="https://www.finect.com/fondos-inversion/LU2278574988-Buy__hold_luxembourg_bh_bond_class_2" TargetMode="External"/><Relationship Id="rId1" Type="http://schemas.openxmlformats.org/officeDocument/2006/relationships/hyperlink" Target="https://www.finect.com/fondos-inversion/IE00B18GC888-Vanguard_global_bd_idx_eur_h_acc" TargetMode="External"/><Relationship Id="rId6" Type="http://schemas.openxmlformats.org/officeDocument/2006/relationships/hyperlink" Target="https://www.finect.com/fondos-inversion/LU0607220562-Schroder_isf_euro_corp_bd_a_acc_eur_h" TargetMode="External"/><Relationship Id="rId5" Type="http://schemas.openxmlformats.org/officeDocument/2006/relationships/hyperlink" Target="https://www.finect.com/fondos-inversion/IE000VA5W9H0-Man_glg_glingd_opports_i_h_eur_acc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finect.com/fondos-inversion/IE0007471471-Vanguard_us_govt_bd_idx__h_acc" TargetMode="External"/><Relationship Id="rId9" Type="http://schemas.openxmlformats.org/officeDocument/2006/relationships/hyperlink" Target="https://www.finect.com/fondos-inversion/LU0438373382-Bluebay_high_yield_esg_bond_m_eu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ect.com/fondos-inversion/LU1213836080-Fidelity_global_technology_aacceur" TargetMode="External"/><Relationship Id="rId13" Type="http://schemas.openxmlformats.org/officeDocument/2006/relationships/hyperlink" Target="https://www.finect.com/fondos-inversion/LU1984712320-Janus_henderson_hrzn_glb_sc_a2_eur_acc" TargetMode="External"/><Relationship Id="rId18" Type="http://schemas.openxmlformats.org/officeDocument/2006/relationships/hyperlink" Target="https://www.finect.com/fondos-inversion/ES0119199000-Cobas_internacional_c_fi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www.finect.com/fondos-inversion/IE00BYX5MX67-Fidelity_sp_500_index_eur_p_acc" TargetMode="External"/><Relationship Id="rId21" Type="http://schemas.openxmlformats.org/officeDocument/2006/relationships/hyperlink" Target="https://www.finect.com/fondos-inversion/LU0524465548-Alken_small_cap_europe_a" TargetMode="External"/><Relationship Id="rId7" Type="http://schemas.openxmlformats.org/officeDocument/2006/relationships/hyperlink" Target="https://www.finect.com/fondos-inversion/LU0625737910-Pictetchina_index_p_eur" TargetMode="External"/><Relationship Id="rId12" Type="http://schemas.openxmlformats.org/officeDocument/2006/relationships/hyperlink" Target="https://www.finect.com/fondos-inversion/LU1931536152-Allianz_pet_and_animal_wlb_at_h2_eur" TargetMode="External"/><Relationship Id="rId17" Type="http://schemas.openxmlformats.org/officeDocument/2006/relationships/hyperlink" Target="https://www.finect.com/fondos-inversion/ES0112611001-Azvalor_internacional_fi" TargetMode="External"/><Relationship Id="rId25" Type="http://schemas.openxmlformats.org/officeDocument/2006/relationships/hyperlink" Target="https://www.finect.com/etfs/LU1834987973-Lyxor_stoxx_europe_600_insurance_etf" TargetMode="External"/><Relationship Id="rId2" Type="http://schemas.openxmlformats.org/officeDocument/2006/relationships/hyperlink" Target="https://www.finect.com/fondos-inversion/IE00BYX5NX33-Fidelity_msci_world_index_eur_p_acc" TargetMode="External"/><Relationship Id="rId16" Type="http://schemas.openxmlformats.org/officeDocument/2006/relationships/hyperlink" Target="https://www.finect.com/fondos-inversion/IE00BH480S68-Gqg_partners_global_equity_i_eur_acc" TargetMode="External"/><Relationship Id="rId20" Type="http://schemas.openxmlformats.org/officeDocument/2006/relationships/hyperlink" Target="https://www.finect.com/fondos-inversion/ES0173311103-Renta_4_multigestion_num_patr_glb_fi" TargetMode="External"/><Relationship Id="rId1" Type="http://schemas.openxmlformats.org/officeDocument/2006/relationships/hyperlink" Target="https://www.finect.com/fondos-inversion/IE0031786142-Vanguard_emerg_mkts_stk_idx_inv_eur_acc" TargetMode="External"/><Relationship Id="rId6" Type="http://schemas.openxmlformats.org/officeDocument/2006/relationships/hyperlink" Target="https://www.finect.com/fondos-inversion/LU0261952419-Fidelity_sust_glb_hlthcare_aacceur" TargetMode="External"/><Relationship Id="rId11" Type="http://schemas.openxmlformats.org/officeDocument/2006/relationships/hyperlink" Target="https://www.finect.com/fondos-inversion/IE00BYWYCC39-Ishares_emergmkts_idx_ie_d_acc_eur" TargetMode="External"/><Relationship Id="rId24" Type="http://schemas.openxmlformats.org/officeDocument/2006/relationships/hyperlink" Target="https://www.finect.com/fondos-inversion/LU0329355670-Robeco_qi_em_active_equities_d_" TargetMode="External"/><Relationship Id="rId5" Type="http://schemas.openxmlformats.org/officeDocument/2006/relationships/hyperlink" Target="https://www.finect.com/fondos-inversion/LU0339661307-Robeco_qi_european_cnsrv_eqs_d_" TargetMode="External"/><Relationship Id="rId15" Type="http://schemas.openxmlformats.org/officeDocument/2006/relationships/hyperlink" Target="https://www.finect.com/fondos-inversion/LU0217390573-Jpm_pacific_equity_a_acc_eur" TargetMode="External"/><Relationship Id="rId23" Type="http://schemas.openxmlformats.org/officeDocument/2006/relationships/hyperlink" Target="https://www.finect.com/fondos-inversion/LU1084165056-Fidelity_global_equity_inc_amincgeur" TargetMode="External"/><Relationship Id="rId10" Type="http://schemas.openxmlformats.org/officeDocument/2006/relationships/hyperlink" Target="https://www.finect.com/fondos-inversion/LU1548497699-Allianz_global_artfcl_intlgc_at_eur" TargetMode="External"/><Relationship Id="rId19" Type="http://schemas.openxmlformats.org/officeDocument/2006/relationships/hyperlink" Target="https://www.finect.com/fondos-inversion/ES0114638036-Bestinver_internacional_fi" TargetMode="External"/><Relationship Id="rId4" Type="http://schemas.openxmlformats.org/officeDocument/2006/relationships/hyperlink" Target="https://www.finect.com/fondos-inversion/LU0261952682-Fidelity_euro_stoxx_50_aacceur" TargetMode="External"/><Relationship Id="rId9" Type="http://schemas.openxmlformats.org/officeDocument/2006/relationships/hyperlink" Target="https://www.finect.com/fondos-inversion/LU0210534227-Jpm_global_focus_a_acc_eur" TargetMode="External"/><Relationship Id="rId14" Type="http://schemas.openxmlformats.org/officeDocument/2006/relationships/hyperlink" Target="https://www.finect.com/fondos-inversion/IE00BDGV0290-Guinness_global_equity_income_d_eur_acc" TargetMode="External"/><Relationship Id="rId22" Type="http://schemas.openxmlformats.org/officeDocument/2006/relationships/hyperlink" Target="https://www.finect.com/fondos-inversion/FI4000066915-Evli_emerging_frontier_b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nect.com/fondos-inversion/LU0251661590-Axawf_euro_10__lt_e_cap_eur" TargetMode="External"/><Relationship Id="rId2" Type="http://schemas.openxmlformats.org/officeDocument/2006/relationships/hyperlink" Target="https://www.finect.com/etfs/IE00BSKRJX20-Ishares__govt_bond_20y_tgtdur_etf_dist" TargetMode="External"/><Relationship Id="rId1" Type="http://schemas.openxmlformats.org/officeDocument/2006/relationships/hyperlink" Target="https://www.finect.com/fondos-inversion/IE00B246KL88-Vanguard_20_yr__trs_idx__acc" TargetMode="External"/><Relationship Id="rId4" Type="http://schemas.openxmlformats.org/officeDocument/2006/relationships/hyperlink" Target="https://www.finect.com/etfs/IE00BFM6TC58-Ishares__treasury_bd_20y_etf_usd_acc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nect.com/etfs/IE00B4L5Y983-Ishares_core_msci_world_etf_usd_acc" TargetMode="External"/><Relationship Id="rId7" Type="http://schemas.openxmlformats.org/officeDocument/2006/relationships/hyperlink" Target="https://www.finect.com/etfs/LU0290357846-Xtrackers_ii_euroz_govt_bd_25_etf_1c" TargetMode="External"/><Relationship Id="rId2" Type="http://schemas.openxmlformats.org/officeDocument/2006/relationships/hyperlink" Target="https://www.finect.com/etfs/IE00BSKRJX20-Ishares__govt_bond_20y_tgtdur_etf_dist" TargetMode="External"/><Relationship Id="rId1" Type="http://schemas.openxmlformats.org/officeDocument/2006/relationships/hyperlink" Target="https://www.finect.com/etfs/IE00B4ND3602-Ishares_physical_gold_etc" TargetMode="External"/><Relationship Id="rId6" Type="http://schemas.openxmlformats.org/officeDocument/2006/relationships/hyperlink" Target="https://www.finect.com/etfs/LU1190417599-Lyxor_smart_overnight_return_etf_c_eur" TargetMode="External"/><Relationship Id="rId5" Type="http://schemas.openxmlformats.org/officeDocument/2006/relationships/hyperlink" Target="https://www.finect.com/etfs/IE000YYE6WK5-Vaneck_defense_etf_a_usd_acc" TargetMode="External"/><Relationship Id="rId4" Type="http://schemas.openxmlformats.org/officeDocument/2006/relationships/hyperlink" Target="https://www.finect.com/etfs/XS2434891219-Fidelity_physical_bitcoin_etp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nect.com/fondos-inversion/DE000A0X7541-Acatis_value_event_fonds_a" TargetMode="External"/><Relationship Id="rId2" Type="http://schemas.openxmlformats.org/officeDocument/2006/relationships/hyperlink" Target="https://www.finect.com/fondos-inversion/LU1953238877-Ec_sicav_evercapital_invms_ucits_i_ins_i" TargetMode="External"/><Relationship Id="rId1" Type="http://schemas.openxmlformats.org/officeDocument/2006/relationships/hyperlink" Target="https://www.finect.com/fondos-inversion/ES0140794001-Gamma_global_fi" TargetMode="External"/><Relationship Id="rId5" Type="http://schemas.openxmlformats.org/officeDocument/2006/relationships/hyperlink" Target="https://www.finect.com/fondos-inversion/LU0243957239-Invesco_pan_european_hi_inc_a_eur_acc" TargetMode="External"/><Relationship Id="rId4" Type="http://schemas.openxmlformats.org/officeDocument/2006/relationships/hyperlink" Target="https://www.finect.com/fondos-inversion/ES0112231008-Avantage_fund_a_fi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ect.com/fondos-inversion/LU1694789451-Dnca_invest_alpha_bonds_a_eur" TargetMode="External"/><Relationship Id="rId13" Type="http://schemas.openxmlformats.org/officeDocument/2006/relationships/hyperlink" Target="https://www.finect.com/fondos-inversion/IE00BLP5S460-Jupitermerian_glb_eq_absrt_l__h_acc" TargetMode="External"/><Relationship Id="rId3" Type="http://schemas.openxmlformats.org/officeDocument/2006/relationships/hyperlink" Target="https://www.finect.com/fondos-inversion/IE00BJQ2XG97-Man_glg_alpha_select_alt_inh_eur" TargetMode="External"/><Relationship Id="rId7" Type="http://schemas.openxmlformats.org/officeDocument/2006/relationships/hyperlink" Target="https://www.finect.com/fondos-inversion/LU1001748398-Jpm_europe_eq_abs_alp_c_perf_acc_eur" TargetMode="External"/><Relationship Id="rId12" Type="http://schemas.openxmlformats.org/officeDocument/2006/relationships/hyperlink" Target="https://www.finect.com/fondos-inversion/LU1508158430-Bsf_asia_pacific_divers_eq_ar_a2_eur_h" TargetMode="External"/><Relationship Id="rId2" Type="http://schemas.openxmlformats.org/officeDocument/2006/relationships/hyperlink" Target="https://www.finect.com/fondos-inversion/ES0128522002-Renta_4_valor_relativo_r_fi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https://www.finect.com/fondos-inversion/FR0010016477-Candriam_index_arbitrage_classique_eur" TargetMode="External"/><Relationship Id="rId6" Type="http://schemas.openxmlformats.org/officeDocument/2006/relationships/hyperlink" Target="https://www.finect.com/fondos-inversion/ES0175414012-Dunas_valor_equilibrado_r_fi" TargetMode="External"/><Relationship Id="rId11" Type="http://schemas.openxmlformats.org/officeDocument/2006/relationships/hyperlink" Target="https://www.finect.com/fondos-inversion/LU1317704051-Carmignac_pf_ls_eurp_eqs_a_eur_acc" TargetMode="External"/><Relationship Id="rId5" Type="http://schemas.openxmlformats.org/officeDocument/2006/relationships/hyperlink" Target="https://www.finect.com/fondos-inversion/LU1164221589-Axawf_euro_credit_total_ret_f_cap_eur" TargetMode="External"/><Relationship Id="rId15" Type="http://schemas.openxmlformats.org/officeDocument/2006/relationships/hyperlink" Target="https://www.finect.com/fondos-inversion/LU1662496279-Aqr_systematic_total_return_ucits_raeft" TargetMode="External"/><Relationship Id="rId10" Type="http://schemas.openxmlformats.org/officeDocument/2006/relationships/hyperlink" Target="https://www.finect.com/fondos-inversion/ES0175437005-Dunas_valor_prudente_r_fi" TargetMode="External"/><Relationship Id="rId4" Type="http://schemas.openxmlformats.org/officeDocument/2006/relationships/hyperlink" Target="https://www.finect.com/fondos-inversion/LU2482630675-Mg_total_return_crdt_invmt_p_eur_acc" TargetMode="External"/><Relationship Id="rId9" Type="http://schemas.openxmlformats.org/officeDocument/2006/relationships/hyperlink" Target="https://www.finect.com/fondos-inversion/ES0157935000-Acacia_renta_dinamica_fi" TargetMode="External"/><Relationship Id="rId14" Type="http://schemas.openxmlformats.org/officeDocument/2006/relationships/hyperlink" Target="https://www.finect.com/fondos-inversion/LU2416422751-Vontobel_credit_opps_hi_hdg_eur_cap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bkYK-akFam4" TargetMode="External"/><Relationship Id="rId13" Type="http://schemas.openxmlformats.org/officeDocument/2006/relationships/hyperlink" Target="https://www.finect.com/fondos-inversion/FI0008811997-Evli_nordic_corporate_bond_b" TargetMode="External"/><Relationship Id="rId18" Type="http://schemas.openxmlformats.org/officeDocument/2006/relationships/hyperlink" Target="https://www.finect.com/fondos-inversion/ES0175414012-Dunas_valor_equilibrado_r_fi" TargetMode="External"/><Relationship Id="rId26" Type="http://schemas.openxmlformats.org/officeDocument/2006/relationships/hyperlink" Target="https://www.finect.com/fondos-inversion/ES0119199000-Cobas_internacional_c_fi" TargetMode="External"/><Relationship Id="rId3" Type="http://schemas.openxmlformats.org/officeDocument/2006/relationships/hyperlink" Target="https://www.finect.com/fondos-inversion/FR0000991390-La_francaise_tresorerie_isr_r" TargetMode="External"/><Relationship Id="rId21" Type="http://schemas.openxmlformats.org/officeDocument/2006/relationships/hyperlink" Target="https://www.finect.com/fondos-inversion/IE00BLP5S460-Jupitermerian_glb_eq_absrt_l__h_acc" TargetMode="External"/><Relationship Id="rId7" Type="http://schemas.openxmlformats.org/officeDocument/2006/relationships/hyperlink" Target="https://www.finect.com/fondos-inversion/IE00BYX5NX33-Fidelity_msci_world_index_eur_p_acc" TargetMode="External"/><Relationship Id="rId12" Type="http://schemas.openxmlformats.org/officeDocument/2006/relationships/hyperlink" Target="https://www.finect.com/fondos-inversion/IE00BFZMJT78-Neuberger_berman_ultr_st_er_bd_eur_iacc" TargetMode="External"/><Relationship Id="rId17" Type="http://schemas.openxmlformats.org/officeDocument/2006/relationships/hyperlink" Target="https://www.finect.com/fondos-inversion/ES0140794001-Gamma_global_fi" TargetMode="External"/><Relationship Id="rId25" Type="http://schemas.openxmlformats.org/officeDocument/2006/relationships/hyperlink" Target="https://www.finect.com/fondos-inversion/IE00BYX5NX33-Fidelity_msci_world_index_eur_p_acc" TargetMode="External"/><Relationship Id="rId2" Type="http://schemas.openxmlformats.org/officeDocument/2006/relationships/hyperlink" Target="https://www.finect.com/fondos-inversion/FR0000989626-Groupama_tresorerie_ic" TargetMode="External"/><Relationship Id="rId16" Type="http://schemas.openxmlformats.org/officeDocument/2006/relationships/hyperlink" Target="https://www.finect.com/fondos-inversion/ES0112618006-Bh_deuda_fi" TargetMode="External"/><Relationship Id="rId20" Type="http://schemas.openxmlformats.org/officeDocument/2006/relationships/hyperlink" Target="https://www.finect.com/fondos-inversion/LU1508158430-Bsf_asia_pacific_divers_eq_ar_a2_eur_h" TargetMode="External"/><Relationship Id="rId1" Type="http://schemas.openxmlformats.org/officeDocument/2006/relationships/hyperlink" Target="https://youtu.be/Ld5HVQY30fY" TargetMode="External"/><Relationship Id="rId6" Type="http://schemas.openxmlformats.org/officeDocument/2006/relationships/hyperlink" Target="https://youtu.be/UseVRu7tVpQ" TargetMode="External"/><Relationship Id="rId11" Type="http://schemas.openxmlformats.org/officeDocument/2006/relationships/hyperlink" Target="http://www.moneychimp.com/international/es/calculator/compound_interest_calculator.htm" TargetMode="External"/><Relationship Id="rId24" Type="http://schemas.openxmlformats.org/officeDocument/2006/relationships/hyperlink" Target="https://www.finect.com/fondos-inversion/ES0140072002-Abaco_renta_fija_mixta_global_i_fi" TargetMode="External"/><Relationship Id="rId5" Type="http://schemas.openxmlformats.org/officeDocument/2006/relationships/hyperlink" Target="https://youtu.be/GJCm99xWUJE" TargetMode="External"/><Relationship Id="rId15" Type="http://schemas.openxmlformats.org/officeDocument/2006/relationships/hyperlink" Target="https://www.finect.com/fondos-inversion/LU0942882589-Sigma_inv_house_fcp_brightg_glb_inc_a_i" TargetMode="External"/><Relationship Id="rId23" Type="http://schemas.openxmlformats.org/officeDocument/2006/relationships/hyperlink" Target="https://www.finect.com/fondos-inversion/ES0140072002-Abaco_renta_fija_mixta_global_i_fi" TargetMode="External"/><Relationship Id="rId10" Type="http://schemas.openxmlformats.org/officeDocument/2006/relationships/hyperlink" Target="https://www.youtube.com/watch?v=Au98IMqZV7U" TargetMode="External"/><Relationship Id="rId19" Type="http://schemas.openxmlformats.org/officeDocument/2006/relationships/hyperlink" Target="https://www.finect.com/fondos-inversion/LU1694789451-Dnca_invest_alpha_bonds_a_eur" TargetMode="External"/><Relationship Id="rId4" Type="http://schemas.openxmlformats.org/officeDocument/2006/relationships/hyperlink" Target="https://www.finect.com/fondos-inversion/FR0000447823-Axa_tresor_court_terme_c" TargetMode="External"/><Relationship Id="rId9" Type="http://schemas.openxmlformats.org/officeDocument/2006/relationships/hyperlink" Target="https://www.finect.com/fondos-inversion/ES0128520006-Renta_4_renta_fija_6_meses_fi" TargetMode="External"/><Relationship Id="rId14" Type="http://schemas.openxmlformats.org/officeDocument/2006/relationships/hyperlink" Target="https://www.finect.com/fondos-inversion/LU1623762843-Carmignac_pf_credit_a_eur_acc" TargetMode="External"/><Relationship Id="rId22" Type="http://schemas.openxmlformats.org/officeDocument/2006/relationships/hyperlink" Target="https://www.finect.com/fondos-inversion/FR0000989626-Groupama_tresorerie_ic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A19" sqref="A19"/>
    </sheetView>
  </sheetViews>
  <sheetFormatPr baseColWidth="10" defaultColWidth="9.06640625" defaultRowHeight="14.25" x14ac:dyDescent="0.45"/>
  <cols>
    <col min="1" max="1" width="41.86328125" customWidth="1"/>
    <col min="2" max="2" width="14.265625" customWidth="1"/>
    <col min="3" max="3" width="7.33203125" customWidth="1"/>
    <col min="5" max="5" width="5.9296875" bestFit="1" customWidth="1"/>
    <col min="7" max="7" width="18.46484375" bestFit="1" customWidth="1"/>
  </cols>
  <sheetData>
    <row r="1" spans="1:7" x14ac:dyDescent="0.45">
      <c r="A1" s="7" t="s">
        <v>17</v>
      </c>
      <c r="B1" s="8" t="s">
        <v>18</v>
      </c>
      <c r="C1" s="8" t="s">
        <v>19</v>
      </c>
      <c r="D1" s="8" t="s">
        <v>9</v>
      </c>
      <c r="E1" s="8" t="s">
        <v>10</v>
      </c>
    </row>
    <row r="2" spans="1:7" x14ac:dyDescent="0.45">
      <c r="A2" s="15" t="s">
        <v>0</v>
      </c>
      <c r="B2" s="15" t="s">
        <v>3</v>
      </c>
      <c r="C2" s="16" t="s">
        <v>15</v>
      </c>
      <c r="D2" s="17">
        <v>8.0000000000000004E-4</v>
      </c>
      <c r="E2" s="17">
        <v>4.02E-2</v>
      </c>
      <c r="G2" s="15" t="s">
        <v>143</v>
      </c>
    </row>
    <row r="3" spans="1:7" x14ac:dyDescent="0.45">
      <c r="A3" s="15" t="s">
        <v>1</v>
      </c>
      <c r="B3" s="15" t="s">
        <v>4</v>
      </c>
      <c r="C3" s="16" t="s">
        <v>14</v>
      </c>
      <c r="D3" s="17">
        <v>8.9999999999999998E-4</v>
      </c>
      <c r="E3" s="17">
        <v>4.0899999999999999E-2</v>
      </c>
    </row>
    <row r="4" spans="1:7" x14ac:dyDescent="0.45">
      <c r="A4" s="15" t="s">
        <v>2</v>
      </c>
      <c r="B4" s="15" t="s">
        <v>5</v>
      </c>
      <c r="C4" s="16" t="s">
        <v>8</v>
      </c>
      <c r="D4" s="17">
        <v>8.0000000000000004E-4</v>
      </c>
      <c r="E4" s="17">
        <v>4.1599999999999998E-2</v>
      </c>
    </row>
    <row r="5" spans="1:7" x14ac:dyDescent="0.45">
      <c r="A5" s="12" t="s">
        <v>6</v>
      </c>
      <c r="B5" s="12" t="s">
        <v>104</v>
      </c>
      <c r="C5" s="13" t="s">
        <v>11</v>
      </c>
      <c r="D5" s="14">
        <v>1E-3</v>
      </c>
      <c r="E5" s="14">
        <v>3.9600000000000003E-2</v>
      </c>
      <c r="G5" s="12" t="s">
        <v>142</v>
      </c>
    </row>
    <row r="7" spans="1:7" x14ac:dyDescent="0.45">
      <c r="A7" t="s">
        <v>7</v>
      </c>
      <c r="B7" t="s">
        <v>13</v>
      </c>
      <c r="C7" s="2" t="s">
        <v>12</v>
      </c>
      <c r="D7" s="1">
        <v>8.9999999999999998E-4</v>
      </c>
      <c r="E7" s="1">
        <v>3.5299999999999998E-2</v>
      </c>
    </row>
    <row r="8" spans="1:7" x14ac:dyDescent="0.45">
      <c r="A8" t="s">
        <v>54</v>
      </c>
      <c r="B8" t="s">
        <v>56</v>
      </c>
      <c r="C8" s="2" t="s">
        <v>55</v>
      </c>
      <c r="D8" s="1">
        <v>1E-3</v>
      </c>
      <c r="E8" s="1">
        <v>4.0399999999999998E-2</v>
      </c>
    </row>
    <row r="9" spans="1:7" x14ac:dyDescent="0.45">
      <c r="A9" t="s">
        <v>91</v>
      </c>
      <c r="B9" t="s">
        <v>90</v>
      </c>
      <c r="C9" s="2" t="s">
        <v>92</v>
      </c>
      <c r="D9" s="10" t="s">
        <v>93</v>
      </c>
      <c r="E9" s="10" t="s">
        <v>93</v>
      </c>
    </row>
    <row r="10" spans="1:7" x14ac:dyDescent="0.45">
      <c r="A10" t="s">
        <v>123</v>
      </c>
      <c r="B10" t="s">
        <v>16</v>
      </c>
      <c r="C10" s="2" t="s">
        <v>116</v>
      </c>
      <c r="D10" s="1">
        <v>6.9999999999999999E-4</v>
      </c>
      <c r="E10" s="1">
        <v>4.0399999999999998E-2</v>
      </c>
    </row>
    <row r="11" spans="1:7" x14ac:dyDescent="0.45">
      <c r="A11" t="s">
        <v>124</v>
      </c>
      <c r="B11" t="s">
        <v>125</v>
      </c>
      <c r="C11" s="2" t="s">
        <v>122</v>
      </c>
      <c r="D11" s="1">
        <v>6.9999999999999999E-4</v>
      </c>
      <c r="E11" s="1">
        <v>4.1099999999999998E-2</v>
      </c>
    </row>
    <row r="12" spans="1:7" x14ac:dyDescent="0.45">
      <c r="A12" t="s">
        <v>211</v>
      </c>
      <c r="B12" t="s">
        <v>212</v>
      </c>
      <c r="C12" s="2" t="s">
        <v>181</v>
      </c>
      <c r="D12" s="10" t="s">
        <v>93</v>
      </c>
      <c r="E12" s="10" t="s">
        <v>93</v>
      </c>
    </row>
  </sheetData>
  <hyperlinks>
    <hyperlink ref="C4" r:id="rId1" xr:uid="{B549EC29-BEF0-4F15-A67A-5C4EDCCDFBC3}"/>
    <hyperlink ref="C5" r:id="rId2" xr:uid="{30CA42F5-CB9C-4AF2-91B7-86D4768C2A80}"/>
    <hyperlink ref="C8" r:id="rId3" xr:uid="{1EDEEB66-4C91-4C5C-8667-66DB1A30BF99}"/>
    <hyperlink ref="C2" r:id="rId4" xr:uid="{5DF28133-880D-4A64-89B2-7AA5E19B0884}"/>
    <hyperlink ref="C9" r:id="rId5" xr:uid="{78239152-3DF4-41ED-AF3B-3911D58048A4}"/>
    <hyperlink ref="C11" r:id="rId6" location="overview" xr:uid="{25D6D059-1CAD-4ED6-A60E-D34D33AD60D7}"/>
    <hyperlink ref="C10" r:id="rId7" xr:uid="{78DB812A-D7E0-4805-BAE6-2259C4F69C6D}"/>
    <hyperlink ref="C3" r:id="rId8" xr:uid="{CE5DF26A-B351-4557-AFDC-044489F3657B}"/>
    <hyperlink ref="C7" r:id="rId9" xr:uid="{061F13C4-F288-435E-93AF-9C9447F4B156}"/>
    <hyperlink ref="C12" r:id="rId10" xr:uid="{2978BF67-32E7-49B6-8150-12884B0414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ECF5-AC41-40E2-81D9-1528AFE8EC98}">
  <dimension ref="A1:H20"/>
  <sheetViews>
    <sheetView workbookViewId="0">
      <selection activeCell="A2" sqref="A2:E2"/>
    </sheetView>
  </sheetViews>
  <sheetFormatPr baseColWidth="10" defaultRowHeight="14.25" x14ac:dyDescent="0.45"/>
  <cols>
    <col min="1" max="1" width="50.59765625" bestFit="1" customWidth="1"/>
    <col min="2" max="2" width="12.53125" bestFit="1" customWidth="1"/>
  </cols>
  <sheetData>
    <row r="1" spans="1:8" ht="14.65" thickBot="1" x14ac:dyDescent="0.5">
      <c r="A1" s="3" t="s">
        <v>17</v>
      </c>
      <c r="B1" s="4" t="s">
        <v>18</v>
      </c>
      <c r="C1" s="4" t="s">
        <v>19</v>
      </c>
      <c r="D1" s="4" t="s">
        <v>9</v>
      </c>
      <c r="E1" s="5" t="s">
        <v>10</v>
      </c>
      <c r="H1" s="20"/>
    </row>
    <row r="2" spans="1:8" x14ac:dyDescent="0.45">
      <c r="A2" t="s">
        <v>20</v>
      </c>
      <c r="B2" t="s">
        <v>24</v>
      </c>
      <c r="C2" s="2" t="s">
        <v>21</v>
      </c>
      <c r="D2" s="1">
        <v>1.9E-3</v>
      </c>
      <c r="E2" s="1">
        <v>4.7300000000000002E-2</v>
      </c>
      <c r="H2" s="20"/>
    </row>
    <row r="3" spans="1:8" x14ac:dyDescent="0.45">
      <c r="A3" s="12" t="s">
        <v>22</v>
      </c>
      <c r="B3" s="12" t="s">
        <v>25</v>
      </c>
      <c r="C3" s="13" t="s">
        <v>23</v>
      </c>
      <c r="D3" s="14">
        <v>1.83E-2</v>
      </c>
      <c r="E3" s="14">
        <v>6.4199999999999993E-2</v>
      </c>
      <c r="H3" s="20"/>
    </row>
    <row r="4" spans="1:8" x14ac:dyDescent="0.45">
      <c r="A4" t="s">
        <v>44</v>
      </c>
      <c r="B4" t="s">
        <v>45</v>
      </c>
      <c r="C4" s="2" t="s">
        <v>43</v>
      </c>
      <c r="D4" s="1">
        <v>8.3999999999999995E-3</v>
      </c>
      <c r="E4" s="1">
        <v>5.6300000000000003E-2</v>
      </c>
      <c r="H4" s="20"/>
    </row>
    <row r="5" spans="1:8" x14ac:dyDescent="0.45">
      <c r="A5" t="s">
        <v>62</v>
      </c>
      <c r="B5" t="s">
        <v>61</v>
      </c>
      <c r="C5" s="2" t="s">
        <v>60</v>
      </c>
      <c r="D5" s="1">
        <v>1.8800000000000001E-2</v>
      </c>
      <c r="E5" s="1">
        <v>5.0900000000000001E-2</v>
      </c>
      <c r="H5" s="20"/>
    </row>
    <row r="6" spans="1:8" x14ac:dyDescent="0.45">
      <c r="A6" t="s">
        <v>95</v>
      </c>
      <c r="B6" t="s">
        <v>96</v>
      </c>
      <c r="C6" s="2" t="s">
        <v>94</v>
      </c>
      <c r="D6" s="1">
        <v>2.52E-2</v>
      </c>
      <c r="E6" s="1">
        <v>6.0600000000000001E-2</v>
      </c>
      <c r="H6" s="20"/>
    </row>
    <row r="7" spans="1:8" x14ac:dyDescent="0.45">
      <c r="A7" t="s">
        <v>99</v>
      </c>
      <c r="B7" t="s">
        <v>110</v>
      </c>
      <c r="C7" s="2" t="s">
        <v>97</v>
      </c>
      <c r="D7" s="1">
        <v>3.7000000000000002E-3</v>
      </c>
      <c r="E7" s="1">
        <v>5.2200000000000003E-2</v>
      </c>
      <c r="H7" s="20"/>
    </row>
    <row r="8" spans="1:8" x14ac:dyDescent="0.45">
      <c r="A8" t="s">
        <v>100</v>
      </c>
      <c r="B8" t="s">
        <v>111</v>
      </c>
      <c r="C8" s="2" t="s">
        <v>98</v>
      </c>
      <c r="D8" s="1">
        <v>1.9E-3</v>
      </c>
      <c r="E8" s="1">
        <v>4.4699999999999997E-2</v>
      </c>
      <c r="H8" s="20"/>
    </row>
    <row r="9" spans="1:8" x14ac:dyDescent="0.45">
      <c r="A9" t="s">
        <v>102</v>
      </c>
      <c r="B9" t="s">
        <v>112</v>
      </c>
      <c r="C9" s="2" t="s">
        <v>101</v>
      </c>
      <c r="D9" s="1">
        <v>1.6799999999999999E-2</v>
      </c>
      <c r="E9" s="1">
        <v>6.1899999999999997E-2</v>
      </c>
      <c r="G9" s="2"/>
      <c r="H9" s="20"/>
    </row>
    <row r="10" spans="1:8" x14ac:dyDescent="0.45">
      <c r="A10" s="12" t="s">
        <v>214</v>
      </c>
      <c r="B10" s="12" t="s">
        <v>213</v>
      </c>
      <c r="C10" s="13" t="s">
        <v>228</v>
      </c>
      <c r="D10" s="14">
        <v>1.6899999999999998E-2</v>
      </c>
      <c r="E10" s="14">
        <v>9.74E-2</v>
      </c>
      <c r="H10" s="20"/>
    </row>
    <row r="11" spans="1:8" x14ac:dyDescent="0.45">
      <c r="A11" s="12" t="s">
        <v>145</v>
      </c>
      <c r="B11" s="12" t="s">
        <v>146</v>
      </c>
      <c r="C11" s="13" t="s">
        <v>144</v>
      </c>
      <c r="D11" s="14">
        <v>1.06E-2</v>
      </c>
      <c r="E11" s="14">
        <v>7.4099999999999999E-2</v>
      </c>
      <c r="H11" s="20"/>
    </row>
    <row r="12" spans="1:8" x14ac:dyDescent="0.45">
      <c r="A12" t="s">
        <v>177</v>
      </c>
      <c r="B12" t="s">
        <v>178</v>
      </c>
      <c r="C12" s="2" t="s">
        <v>148</v>
      </c>
      <c r="D12" s="1">
        <v>4.5999999999999999E-3</v>
      </c>
      <c r="E12" s="1">
        <v>5.3499999999999999E-2</v>
      </c>
      <c r="H12" s="20"/>
    </row>
    <row r="13" spans="1:8" x14ac:dyDescent="0.45">
      <c r="A13" t="s">
        <v>216</v>
      </c>
      <c r="B13" t="s">
        <v>215</v>
      </c>
      <c r="C13" s="2" t="s">
        <v>140</v>
      </c>
      <c r="D13" s="1">
        <v>1.5699999999999999E-2</v>
      </c>
      <c r="E13" s="1">
        <v>4.9000000000000002E-2</v>
      </c>
      <c r="H13" s="2"/>
    </row>
    <row r="14" spans="1:8" x14ac:dyDescent="0.45">
      <c r="A14" t="s">
        <v>220</v>
      </c>
      <c r="B14" t="s">
        <v>218</v>
      </c>
      <c r="C14" s="2" t="s">
        <v>219</v>
      </c>
      <c r="D14" s="1">
        <v>1.7000000000000001E-2</v>
      </c>
      <c r="E14" s="1">
        <v>5.1799999999999999E-2</v>
      </c>
    </row>
    <row r="15" spans="1:8" x14ac:dyDescent="0.45">
      <c r="A15" t="s">
        <v>225</v>
      </c>
      <c r="B15" t="s">
        <v>227</v>
      </c>
      <c r="C15" s="2" t="s">
        <v>226</v>
      </c>
      <c r="D15" s="1">
        <v>2.7E-2</v>
      </c>
      <c r="E15" s="1">
        <v>8.8800000000000004E-2</v>
      </c>
    </row>
    <row r="16" spans="1:8" x14ac:dyDescent="0.45">
      <c r="A16" t="s">
        <v>247</v>
      </c>
      <c r="B16" t="s">
        <v>245</v>
      </c>
      <c r="C16" s="2" t="s">
        <v>246</v>
      </c>
      <c r="D16" s="1">
        <v>2.1700000000000001E-2</v>
      </c>
      <c r="E16" s="1">
        <v>4.9500000000000002E-2</v>
      </c>
    </row>
    <row r="17" spans="1:5" x14ac:dyDescent="0.45">
      <c r="A17" t="s">
        <v>332</v>
      </c>
      <c r="B17" t="s">
        <v>331</v>
      </c>
      <c r="C17" s="2" t="s">
        <v>320</v>
      </c>
      <c r="D17" s="1">
        <v>1.1599999999999999E-2</v>
      </c>
      <c r="E17" s="1">
        <v>5.3699999999999998E-2</v>
      </c>
    </row>
    <row r="18" spans="1:5" x14ac:dyDescent="0.45">
      <c r="A18" t="s">
        <v>333</v>
      </c>
      <c r="B18" t="s">
        <v>328</v>
      </c>
      <c r="C18" s="2" t="s">
        <v>327</v>
      </c>
      <c r="D18" s="1">
        <v>5.8999999999999999E-3</v>
      </c>
      <c r="E18" s="1">
        <v>4.7100000000000003E-2</v>
      </c>
    </row>
    <row r="19" spans="1:5" x14ac:dyDescent="0.45">
      <c r="A19" t="s">
        <v>334</v>
      </c>
      <c r="B19" t="s">
        <v>335</v>
      </c>
      <c r="C19" s="2" t="s">
        <v>329</v>
      </c>
      <c r="D19" s="1">
        <v>7.0000000000000001E-3</v>
      </c>
      <c r="E19" s="1">
        <v>4.7699999999999999E-2</v>
      </c>
    </row>
    <row r="20" spans="1:5" x14ac:dyDescent="0.45">
      <c r="B20" t="s">
        <v>359</v>
      </c>
    </row>
  </sheetData>
  <hyperlinks>
    <hyperlink ref="C2" r:id="rId1" xr:uid="{4A604376-CC23-4F8A-9B7D-98759C79F335}"/>
    <hyperlink ref="C4" r:id="rId2" xr:uid="{92DF84B4-FABD-46F1-B16C-E66594E21BFF}"/>
    <hyperlink ref="C5" r:id="rId3" xr:uid="{C08C6ADD-46FE-4DEA-8FD8-86E2C85D0B24}"/>
    <hyperlink ref="C3" r:id="rId4" xr:uid="{F6C639DF-AA64-428F-A4FB-25D1EDDB1EF3}"/>
    <hyperlink ref="C6" r:id="rId5" xr:uid="{DCF9BB8A-A735-4216-A707-3DF26174FF96}"/>
    <hyperlink ref="C7" r:id="rId6" xr:uid="{64F80A22-5890-495C-A4D0-C6710B2453DC}"/>
    <hyperlink ref="C8" r:id="rId7" xr:uid="{BCA61234-A3A5-4834-9724-8E6E5E984356}"/>
    <hyperlink ref="C9" r:id="rId8" xr:uid="{445C57EC-8253-435B-871E-77F58099654F}"/>
    <hyperlink ref="C11" r:id="rId9" xr:uid="{D4EF445D-5F6F-4880-B5B3-17FFD274CD52}"/>
    <hyperlink ref="C12" r:id="rId10" xr:uid="{0CD5F4CD-C376-4D14-9543-04EB30290294}"/>
    <hyperlink ref="C13" r:id="rId11" xr:uid="{4AD533C7-C76F-466E-B575-987D4C7DF159}"/>
    <hyperlink ref="C14" r:id="rId12" xr:uid="{AC6085C9-84B5-4775-8989-30A33310C7F4}"/>
    <hyperlink ref="C15" r:id="rId13" xr:uid="{6C604F79-BE1A-4789-B48C-D701608DC4D6}"/>
    <hyperlink ref="C16" r:id="rId14" xr:uid="{5E9B5FDC-287A-4132-84EA-F8E77654D6D3}"/>
    <hyperlink ref="C17" r:id="rId15" xr:uid="{B54FB44C-F6A6-49E6-A748-52CD523E31EF}"/>
    <hyperlink ref="C10" r:id="rId16" xr:uid="{E2F974A1-42C6-4032-920E-3B94B4E6DB49}"/>
    <hyperlink ref="C18" r:id="rId17" xr:uid="{B3F141DF-D20F-46FB-81F5-6F615E518C2F}"/>
    <hyperlink ref="C19" r:id="rId18" xr:uid="{55EF5272-E190-4101-A208-7B1AC395083A}"/>
  </hyperlinks>
  <pageMargins left="0.7" right="0.7" top="0.75" bottom="0.75" header="0.3" footer="0.3"/>
  <pageSetup paperSize="9"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7305-A596-48BE-88E3-889008806E42}">
  <dimension ref="A1:H11"/>
  <sheetViews>
    <sheetView workbookViewId="0">
      <selection activeCell="A7" sqref="A7:E7"/>
    </sheetView>
  </sheetViews>
  <sheetFormatPr baseColWidth="10" defaultRowHeight="14.25" x14ac:dyDescent="0.45"/>
  <cols>
    <col min="1" max="1" width="55.19921875" customWidth="1"/>
    <col min="2" max="2" width="12.796875" bestFit="1" customWidth="1"/>
  </cols>
  <sheetData>
    <row r="1" spans="1:8" ht="14.65" thickBot="1" x14ac:dyDescent="0.5">
      <c r="A1" s="3" t="s">
        <v>17</v>
      </c>
      <c r="B1" s="4" t="s">
        <v>18</v>
      </c>
      <c r="C1" s="4" t="s">
        <v>19</v>
      </c>
      <c r="D1" s="4" t="s">
        <v>9</v>
      </c>
      <c r="E1" s="5" t="s">
        <v>10</v>
      </c>
    </row>
    <row r="2" spans="1:8" x14ac:dyDescent="0.45">
      <c r="A2" t="s">
        <v>31</v>
      </c>
      <c r="B2" t="s">
        <v>33</v>
      </c>
      <c r="C2" s="2" t="s">
        <v>32</v>
      </c>
      <c r="D2" s="1">
        <v>3.7199999999999997E-2</v>
      </c>
      <c r="E2" s="1">
        <v>0.10199999999999999</v>
      </c>
    </row>
    <row r="3" spans="1:8" x14ac:dyDescent="0.45">
      <c r="A3" t="s">
        <v>64</v>
      </c>
      <c r="B3" t="s">
        <v>65</v>
      </c>
      <c r="C3" s="2" t="s">
        <v>63</v>
      </c>
      <c r="D3" s="1">
        <v>3.5499999999999997E-2</v>
      </c>
      <c r="E3" s="1">
        <v>0.13109999999999999</v>
      </c>
      <c r="G3" s="2"/>
    </row>
    <row r="4" spans="1:8" x14ac:dyDescent="0.45">
      <c r="A4" t="s">
        <v>29</v>
      </c>
      <c r="B4" t="s">
        <v>30</v>
      </c>
      <c r="C4" s="2" t="s">
        <v>28</v>
      </c>
      <c r="D4" s="1">
        <v>6.4299999999999996E-2</v>
      </c>
      <c r="E4" s="1">
        <v>5.9299999999999999E-2</v>
      </c>
    </row>
    <row r="5" spans="1:8" x14ac:dyDescent="0.45">
      <c r="A5" t="s">
        <v>78</v>
      </c>
      <c r="B5" t="s">
        <v>79</v>
      </c>
      <c r="C5" s="2" t="s">
        <v>76</v>
      </c>
      <c r="D5" s="1">
        <v>6.7199999999999996E-2</v>
      </c>
      <c r="E5" s="1">
        <v>6.4899999999999999E-2</v>
      </c>
      <c r="G5" s="2"/>
      <c r="H5" s="2"/>
    </row>
    <row r="6" spans="1:8" x14ac:dyDescent="0.45">
      <c r="A6" t="s">
        <v>221</v>
      </c>
      <c r="B6" t="s">
        <v>80</v>
      </c>
      <c r="C6" s="2" t="s">
        <v>77</v>
      </c>
      <c r="D6" s="1">
        <v>5.8000000000000003E-2</v>
      </c>
      <c r="E6" s="1">
        <v>0.21279999999999999</v>
      </c>
    </row>
    <row r="7" spans="1:8" x14ac:dyDescent="0.45">
      <c r="A7" t="s">
        <v>114</v>
      </c>
      <c r="B7" t="s">
        <v>115</v>
      </c>
      <c r="C7" s="2" t="s">
        <v>113</v>
      </c>
      <c r="D7" s="1">
        <v>3.4500000000000003E-2</v>
      </c>
      <c r="E7" s="1">
        <v>0.13389999999999999</v>
      </c>
      <c r="G7" s="2"/>
    </row>
    <row r="8" spans="1:8" x14ac:dyDescent="0.45">
      <c r="A8" t="s">
        <v>126</v>
      </c>
      <c r="B8" t="s">
        <v>127</v>
      </c>
      <c r="C8" s="2" t="s">
        <v>117</v>
      </c>
      <c r="D8" s="1">
        <v>1.6500000000000001E-2</v>
      </c>
      <c r="E8" s="1">
        <v>0.1023</v>
      </c>
    </row>
    <row r="9" spans="1:8" x14ac:dyDescent="0.45">
      <c r="A9" t="s">
        <v>135</v>
      </c>
      <c r="B9" t="s">
        <v>222</v>
      </c>
      <c r="C9" s="2" t="s">
        <v>134</v>
      </c>
      <c r="D9" s="1">
        <v>4.3799999999999999E-2</v>
      </c>
      <c r="E9" s="1">
        <v>0.128</v>
      </c>
    </row>
    <row r="10" spans="1:8" x14ac:dyDescent="0.45">
      <c r="A10" t="s">
        <v>224</v>
      </c>
      <c r="B10" t="s">
        <v>223</v>
      </c>
      <c r="C10" s="2" t="s">
        <v>137</v>
      </c>
      <c r="D10" s="1">
        <v>2.5999999999999999E-2</v>
      </c>
      <c r="E10" s="1">
        <v>5.3499999999999999E-2</v>
      </c>
    </row>
    <row r="11" spans="1:8" x14ac:dyDescent="0.45">
      <c r="A11" t="s">
        <v>337</v>
      </c>
      <c r="B11" t="s">
        <v>330</v>
      </c>
      <c r="C11" s="2" t="s">
        <v>336</v>
      </c>
      <c r="D11" s="1">
        <v>1.9400000000000001E-2</v>
      </c>
      <c r="E11" s="1">
        <v>5.2499999999999998E-2</v>
      </c>
    </row>
  </sheetData>
  <hyperlinks>
    <hyperlink ref="C4" r:id="rId1" xr:uid="{4470E157-135D-48A2-846C-8BC7D3283631}"/>
    <hyperlink ref="C2" r:id="rId2" xr:uid="{735BD737-1A90-481E-8CD6-8FCCFF4C7E5E}"/>
    <hyperlink ref="C3" r:id="rId3" xr:uid="{7F8C665A-27AD-4C3F-89D9-82D2FC1734B0}"/>
    <hyperlink ref="C5" r:id="rId4" xr:uid="{8A1739A9-7858-4B68-845E-198151998BD6}"/>
    <hyperlink ref="C6" r:id="rId5" xr:uid="{BE1ECB7E-92F1-4DE7-82BF-B5ADAD80C47F}"/>
    <hyperlink ref="C8" r:id="rId6" xr:uid="{B55DD1FB-3AB9-49DD-9DE8-6F78CC0DDF1E}"/>
    <hyperlink ref="C7" r:id="rId7" xr:uid="{D9B5BD93-2B18-425E-84C6-9E9D0DA5CC06}"/>
    <hyperlink ref="C9" r:id="rId8" xr:uid="{9852BEA0-006E-4C96-B1E5-7068C62E9FF4}"/>
    <hyperlink ref="C10" r:id="rId9" xr:uid="{1F4340CF-D006-4E99-B58C-B6512A31E844}"/>
  </hyperlinks>
  <pageMargins left="0.7" right="0.7" top="0.75" bottom="0.75" header="0.3" footer="0.3"/>
  <pageSetup paperSize="9"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CAAA-CC6B-46DE-A4F7-92A22E14F92B}">
  <dimension ref="A1:H27"/>
  <sheetViews>
    <sheetView topLeftCell="A3" workbookViewId="0">
      <selection activeCell="C22" sqref="C22"/>
    </sheetView>
  </sheetViews>
  <sheetFormatPr baseColWidth="10" defaultRowHeight="14.25" x14ac:dyDescent="0.45"/>
  <cols>
    <col min="1" max="1" width="59.19921875" bestFit="1" customWidth="1"/>
    <col min="2" max="2" width="12.796875" bestFit="1" customWidth="1"/>
  </cols>
  <sheetData>
    <row r="1" spans="1:8" ht="14.65" thickBot="1" x14ac:dyDescent="0.5">
      <c r="A1" s="3" t="s">
        <v>17</v>
      </c>
      <c r="B1" s="4" t="s">
        <v>18</v>
      </c>
      <c r="C1" s="4" t="s">
        <v>19</v>
      </c>
      <c r="D1" s="4" t="s">
        <v>9</v>
      </c>
      <c r="E1" s="5" t="s">
        <v>10</v>
      </c>
    </row>
    <row r="2" spans="1:8" x14ac:dyDescent="0.45">
      <c r="A2" s="12" t="s">
        <v>47</v>
      </c>
      <c r="B2" s="12" t="s">
        <v>138</v>
      </c>
      <c r="C2" s="13" t="s">
        <v>46</v>
      </c>
      <c r="D2" s="14">
        <v>0.11840000000000001</v>
      </c>
      <c r="E2" s="14">
        <v>9.9199999999999997E-2</v>
      </c>
    </row>
    <row r="3" spans="1:8" x14ac:dyDescent="0.45">
      <c r="A3" s="12" t="s">
        <v>48</v>
      </c>
      <c r="B3" s="12" t="s">
        <v>50</v>
      </c>
      <c r="C3" s="13" t="s">
        <v>49</v>
      </c>
      <c r="D3" s="14">
        <v>0.1038</v>
      </c>
      <c r="E3" s="14">
        <v>0.19389999999999999</v>
      </c>
    </row>
    <row r="4" spans="1:8" x14ac:dyDescent="0.45">
      <c r="A4" s="15" t="s">
        <v>51</v>
      </c>
      <c r="B4" s="15" t="s">
        <v>53</v>
      </c>
      <c r="C4" s="16" t="s">
        <v>52</v>
      </c>
      <c r="D4" s="17">
        <v>0.1101</v>
      </c>
      <c r="E4" s="17">
        <v>0.21029999999999999</v>
      </c>
    </row>
    <row r="5" spans="1:8" x14ac:dyDescent="0.45">
      <c r="A5" s="15" t="s">
        <v>57</v>
      </c>
      <c r="B5" s="15" t="s">
        <v>58</v>
      </c>
      <c r="C5" s="16" t="s">
        <v>59</v>
      </c>
      <c r="D5" s="17">
        <v>0.1338</v>
      </c>
      <c r="E5" s="17">
        <v>0.16930000000000001</v>
      </c>
    </row>
    <row r="6" spans="1:8" x14ac:dyDescent="0.45">
      <c r="A6" t="s">
        <v>68</v>
      </c>
      <c r="B6" t="s">
        <v>67</v>
      </c>
      <c r="C6" s="2" t="s">
        <v>66</v>
      </c>
      <c r="D6" s="1">
        <v>5.0799999999999998E-2</v>
      </c>
      <c r="E6" s="1">
        <v>0.1532</v>
      </c>
    </row>
    <row r="7" spans="1:8" x14ac:dyDescent="0.45">
      <c r="A7" t="s">
        <v>81</v>
      </c>
      <c r="B7" t="s">
        <v>87</v>
      </c>
      <c r="C7" s="2" t="s">
        <v>75</v>
      </c>
      <c r="D7" s="1">
        <v>9.4100000000000003E-2</v>
      </c>
      <c r="E7" s="1">
        <v>0.1691</v>
      </c>
      <c r="G7" s="2"/>
    </row>
    <row r="8" spans="1:8" x14ac:dyDescent="0.45">
      <c r="A8" s="15" t="s">
        <v>86</v>
      </c>
      <c r="B8" s="15" t="s">
        <v>88</v>
      </c>
      <c r="C8" s="16" t="s">
        <v>89</v>
      </c>
      <c r="D8" s="17">
        <v>0.16819999999999999</v>
      </c>
      <c r="E8" s="17">
        <v>-8.5400000000000004E-2</v>
      </c>
      <c r="H8" s="2"/>
    </row>
    <row r="9" spans="1:8" x14ac:dyDescent="0.45">
      <c r="A9" t="s">
        <v>106</v>
      </c>
      <c r="B9" t="s">
        <v>107</v>
      </c>
      <c r="C9" s="2" t="s">
        <v>105</v>
      </c>
      <c r="D9" s="1">
        <v>0.10060000000000001</v>
      </c>
      <c r="E9" s="1">
        <v>9.69E-2</v>
      </c>
    </row>
    <row r="10" spans="1:8" x14ac:dyDescent="0.45">
      <c r="A10" s="15" t="s">
        <v>231</v>
      </c>
      <c r="B10" s="15" t="s">
        <v>326</v>
      </c>
      <c r="C10" s="16" t="s">
        <v>120</v>
      </c>
      <c r="D10" s="17">
        <v>0.14360000000000001</v>
      </c>
      <c r="E10" s="17">
        <v>0.3508</v>
      </c>
    </row>
    <row r="11" spans="1:8" x14ac:dyDescent="0.45">
      <c r="A11" t="s">
        <v>129</v>
      </c>
      <c r="B11" t="s">
        <v>130</v>
      </c>
      <c r="C11" s="2" t="s">
        <v>121</v>
      </c>
      <c r="D11" s="1">
        <v>0.1115</v>
      </c>
      <c r="E11" s="1">
        <v>0.2989</v>
      </c>
    </row>
    <row r="12" spans="1:8" x14ac:dyDescent="0.45">
      <c r="A12" s="15" t="s">
        <v>232</v>
      </c>
      <c r="B12" s="15" t="s">
        <v>233</v>
      </c>
      <c r="C12" s="16" t="s">
        <v>234</v>
      </c>
      <c r="D12" s="17">
        <v>0.1724</v>
      </c>
      <c r="E12" s="17">
        <v>0.22289999999999999</v>
      </c>
    </row>
    <row r="13" spans="1:8" x14ac:dyDescent="0.45">
      <c r="A13" t="s">
        <v>235</v>
      </c>
      <c r="B13" t="s">
        <v>236</v>
      </c>
      <c r="C13" s="2" t="s">
        <v>132</v>
      </c>
      <c r="D13" s="1">
        <v>0.21050000000000002</v>
      </c>
      <c r="E13" s="1">
        <v>-0.15959999999999999</v>
      </c>
    </row>
    <row r="14" spans="1:8" x14ac:dyDescent="0.45">
      <c r="A14" t="s">
        <v>238</v>
      </c>
      <c r="B14" t="s">
        <v>239</v>
      </c>
      <c r="C14" s="2" t="s">
        <v>133</v>
      </c>
      <c r="D14" s="1">
        <v>0.1381</v>
      </c>
      <c r="E14" s="1">
        <v>-9.2399999999999996E-2</v>
      </c>
    </row>
    <row r="15" spans="1:8" x14ac:dyDescent="0.45">
      <c r="A15" s="22" t="s">
        <v>240</v>
      </c>
      <c r="B15" s="22" t="s">
        <v>237</v>
      </c>
      <c r="C15" s="23" t="s">
        <v>147</v>
      </c>
      <c r="D15" s="24">
        <v>0.1595</v>
      </c>
      <c r="E15" s="24">
        <v>-4.3299999999999998E-2</v>
      </c>
      <c r="H15" s="2"/>
    </row>
    <row r="16" spans="1:8" x14ac:dyDescent="0.45">
      <c r="A16" s="22" t="s">
        <v>206</v>
      </c>
      <c r="B16" s="22" t="s">
        <v>207</v>
      </c>
      <c r="C16" s="23" t="s">
        <v>241</v>
      </c>
      <c r="D16" s="24">
        <v>0.115</v>
      </c>
      <c r="E16" s="24">
        <v>0.1192</v>
      </c>
      <c r="H16" s="2"/>
    </row>
    <row r="17" spans="1:8" x14ac:dyDescent="0.45">
      <c r="A17" s="22" t="s">
        <v>229</v>
      </c>
      <c r="B17" s="22" t="s">
        <v>230</v>
      </c>
      <c r="C17" s="23" t="s">
        <v>209</v>
      </c>
      <c r="D17" s="24">
        <v>9.6699999999999994E-2</v>
      </c>
      <c r="E17" s="24">
        <v>-5.2699999999999997E-2</v>
      </c>
      <c r="H17" s="2"/>
    </row>
    <row r="18" spans="1:8" x14ac:dyDescent="0.45">
      <c r="A18" s="22" t="s">
        <v>243</v>
      </c>
      <c r="B18" s="22" t="s">
        <v>244</v>
      </c>
      <c r="C18" s="23" t="s">
        <v>242</v>
      </c>
      <c r="D18" s="24">
        <v>0.14710000000000001</v>
      </c>
      <c r="E18" s="24">
        <v>-0.11360000000000001</v>
      </c>
    </row>
    <row r="19" spans="1:8" x14ac:dyDescent="0.45">
      <c r="A19" s="22" t="s">
        <v>250</v>
      </c>
      <c r="B19" s="22" t="s">
        <v>249</v>
      </c>
      <c r="C19" s="23" t="s">
        <v>248</v>
      </c>
      <c r="D19" s="24">
        <v>9.06E-2</v>
      </c>
      <c r="E19" s="24">
        <v>-0.1583</v>
      </c>
    </row>
    <row r="20" spans="1:8" x14ac:dyDescent="0.45">
      <c r="A20" s="22" t="s">
        <v>253</v>
      </c>
      <c r="B20" s="22" t="s">
        <v>254</v>
      </c>
      <c r="C20" s="23" t="s">
        <v>252</v>
      </c>
      <c r="D20" s="24">
        <v>9.35E-2</v>
      </c>
      <c r="E20" s="24">
        <v>-1.0800000000000001E-2</v>
      </c>
    </row>
    <row r="21" spans="1:8" x14ac:dyDescent="0.45">
      <c r="A21" s="22" t="s">
        <v>257</v>
      </c>
      <c r="B21" s="22" t="s">
        <v>256</v>
      </c>
      <c r="C21" s="23" t="s">
        <v>255</v>
      </c>
      <c r="D21" s="24">
        <v>0.108</v>
      </c>
      <c r="E21" s="24">
        <v>-9.2799999999999994E-2</v>
      </c>
    </row>
    <row r="22" spans="1:8" x14ac:dyDescent="0.45">
      <c r="A22" s="22" t="s">
        <v>260</v>
      </c>
      <c r="B22" s="22" t="s">
        <v>259</v>
      </c>
      <c r="C22" s="23" t="s">
        <v>258</v>
      </c>
      <c r="D22" s="24">
        <v>0.18</v>
      </c>
      <c r="E22" s="24">
        <v>2.63E-2</v>
      </c>
    </row>
    <row r="23" spans="1:8" x14ac:dyDescent="0.45">
      <c r="A23" s="22" t="s">
        <v>307</v>
      </c>
      <c r="B23" s="22" t="s">
        <v>308</v>
      </c>
      <c r="C23" s="23" t="s">
        <v>306</v>
      </c>
      <c r="D23" s="24">
        <v>0.16700000000000001</v>
      </c>
      <c r="E23" s="24">
        <v>0.1497</v>
      </c>
    </row>
    <row r="24" spans="1:8" x14ac:dyDescent="0.45">
      <c r="A24" s="22" t="s">
        <v>339</v>
      </c>
      <c r="B24" s="22" t="s">
        <v>338</v>
      </c>
      <c r="C24" s="23" t="s">
        <v>319</v>
      </c>
      <c r="D24" s="24">
        <v>0.115</v>
      </c>
      <c r="E24" s="24">
        <v>9.6299999999999997E-2</v>
      </c>
    </row>
    <row r="25" spans="1:8" x14ac:dyDescent="0.45">
      <c r="A25" s="22" t="s">
        <v>340</v>
      </c>
      <c r="B25" s="22" t="s">
        <v>341</v>
      </c>
      <c r="C25" s="23" t="s">
        <v>321</v>
      </c>
      <c r="D25" s="24">
        <v>8.09E-2</v>
      </c>
      <c r="E25" s="24">
        <v>0.17929999999999999</v>
      </c>
    </row>
    <row r="26" spans="1:8" x14ac:dyDescent="0.45">
      <c r="A26" s="22" t="s">
        <v>343</v>
      </c>
      <c r="B26" s="22" t="s">
        <v>342</v>
      </c>
      <c r="C26" s="23" t="s">
        <v>322</v>
      </c>
      <c r="D26" s="24">
        <v>0.1041</v>
      </c>
      <c r="E26" s="24">
        <v>5.4399999999999997E-2</v>
      </c>
    </row>
    <row r="27" spans="1:8" x14ac:dyDescent="0.45">
      <c r="A27" s="22" t="s">
        <v>345</v>
      </c>
      <c r="B27" s="22" t="s">
        <v>344</v>
      </c>
      <c r="C27" s="23" t="s">
        <v>323</v>
      </c>
      <c r="D27" s="24">
        <v>9.4E-2</v>
      </c>
      <c r="E27" s="24">
        <v>0.32019999999999998</v>
      </c>
    </row>
  </sheetData>
  <hyperlinks>
    <hyperlink ref="C2" r:id="rId1" xr:uid="{57A63504-AF14-4811-B5DF-EA40347C889B}"/>
    <hyperlink ref="C3" r:id="rId2" xr:uid="{FB1CC468-F1FD-4C22-A07F-CAA6FCC8EF6C}"/>
    <hyperlink ref="C4" r:id="rId3" xr:uid="{E3D29846-999D-4ED9-AFDE-5A891905A07C}"/>
    <hyperlink ref="C5" r:id="rId4" xr:uid="{8C1A74EC-4D1C-4020-B616-2BF628D6F2D9}"/>
    <hyperlink ref="C6" r:id="rId5" xr:uid="{4E3B81F5-3C9E-4772-B2B5-CB7F0492F528}"/>
    <hyperlink ref="C7" r:id="rId6" xr:uid="{D0CEF771-2E74-4F02-826F-B4CF22DEE18C}"/>
    <hyperlink ref="C8" r:id="rId7" xr:uid="{2CA1B05D-81DF-47FA-8849-1F52A53D0DE6}"/>
    <hyperlink ref="C10" r:id="rId8" xr:uid="{B7389824-8E3B-4DE2-9A23-3F68D5471CB9}"/>
    <hyperlink ref="C11" r:id="rId9" xr:uid="{9502BC13-1533-4890-BD02-C3522932BEF4}"/>
    <hyperlink ref="C13" r:id="rId10" xr:uid="{947AB54B-A1DC-4F65-B49C-FC4BDDF693EB}"/>
    <hyperlink ref="C9" r:id="rId11" xr:uid="{3C86EB39-CB1F-4098-A406-6AD7A3A97F02}"/>
    <hyperlink ref="C14" r:id="rId12" xr:uid="{551C5D4F-5DDB-43EC-BCE1-0D04337EB2F0}"/>
    <hyperlink ref="C15" r:id="rId13" xr:uid="{610D44FE-62E2-49CB-B9D2-A6539317854D}"/>
    <hyperlink ref="C16" r:id="rId14" xr:uid="{D727F8E2-C862-4432-B71A-38228819603F}"/>
    <hyperlink ref="C17" r:id="rId15" xr:uid="{3C26199D-1387-4303-99EF-59F5026490B8}"/>
    <hyperlink ref="C18" r:id="rId16" xr:uid="{9DFEFD3E-EB4B-4797-AEA7-3788EE3AE1C8}"/>
    <hyperlink ref="C19" r:id="rId17" xr:uid="{CF2CE735-6DF7-432B-86DC-2F544BD883FC}"/>
    <hyperlink ref="C20" r:id="rId18" xr:uid="{47584A3D-FB4F-440F-8793-33F72D957604}"/>
    <hyperlink ref="C21" r:id="rId19" xr:uid="{ED2A07F4-0689-469C-A3F9-61510BC9BFA6}"/>
    <hyperlink ref="C22" r:id="rId20" xr:uid="{07D30029-C86B-4B7D-B536-00A7AA0EF59B}"/>
    <hyperlink ref="C23" r:id="rId21" xr:uid="{CCC2DAED-49DD-4565-A2A9-6E0B4966298A}"/>
    <hyperlink ref="C24" r:id="rId22" xr:uid="{8A19CFED-DC0E-4600-B638-1A24BD0DEE80}"/>
    <hyperlink ref="C25" r:id="rId23" xr:uid="{FB0F8A05-6E43-45C3-9D86-89637C2C4283}"/>
    <hyperlink ref="C26" r:id="rId24" xr:uid="{584C0231-88A3-47D0-9B97-2D7885BBC102}"/>
    <hyperlink ref="C27" r:id="rId25" xr:uid="{68306394-84B5-485D-A21F-C042859F305D}"/>
  </hyperlinks>
  <pageMargins left="0.7" right="0.7" top="0.75" bottom="0.75" header="0.3" footer="0.3"/>
  <pageSetup paperSize="9" orientation="portrait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0C38-9E5D-4656-9717-9718F32ECFB1}">
  <dimension ref="A1:E5"/>
  <sheetViews>
    <sheetView workbookViewId="0">
      <selection activeCell="H19" sqref="H19"/>
    </sheetView>
  </sheetViews>
  <sheetFormatPr baseColWidth="10" defaultRowHeight="14.25" x14ac:dyDescent="0.45"/>
  <cols>
    <col min="1" max="1" width="43.265625" bestFit="1" customWidth="1"/>
    <col min="2" max="2" width="12.53125" bestFit="1" customWidth="1"/>
    <col min="3" max="3" width="9.73046875" customWidth="1"/>
  </cols>
  <sheetData>
    <row r="1" spans="1:5" ht="14.65" thickBot="1" x14ac:dyDescent="0.5">
      <c r="A1" s="3" t="s">
        <v>17</v>
      </c>
      <c r="B1" s="4" t="s">
        <v>18</v>
      </c>
      <c r="C1" s="4" t="s">
        <v>19</v>
      </c>
      <c r="D1" s="4" t="s">
        <v>9</v>
      </c>
      <c r="E1" s="5" t="s">
        <v>10</v>
      </c>
    </row>
    <row r="2" spans="1:5" x14ac:dyDescent="0.45">
      <c r="A2" t="s">
        <v>27</v>
      </c>
      <c r="B2" t="s">
        <v>39</v>
      </c>
      <c r="C2" s="2" t="s">
        <v>26</v>
      </c>
      <c r="D2" s="1">
        <v>0.1767</v>
      </c>
      <c r="E2" s="1">
        <v>9.4399999999999998E-2</v>
      </c>
    </row>
    <row r="3" spans="1:5" x14ac:dyDescent="0.45">
      <c r="A3" t="s">
        <v>108</v>
      </c>
      <c r="B3" t="s">
        <v>109</v>
      </c>
      <c r="C3" s="2" t="s">
        <v>103</v>
      </c>
      <c r="D3" s="1">
        <v>0.13220000000000001</v>
      </c>
      <c r="E3" s="1">
        <v>0.109</v>
      </c>
    </row>
    <row r="4" spans="1:5" x14ac:dyDescent="0.45">
      <c r="A4" s="9" t="s">
        <v>83</v>
      </c>
      <c r="B4" t="s">
        <v>82</v>
      </c>
      <c r="C4" s="2" t="s">
        <v>84</v>
      </c>
      <c r="D4" s="1">
        <v>0.17080000000000001</v>
      </c>
      <c r="E4" s="1">
        <v>9.74E-2</v>
      </c>
    </row>
    <row r="5" spans="1:5" x14ac:dyDescent="0.45">
      <c r="A5" s="9" t="s">
        <v>37</v>
      </c>
      <c r="B5" t="s">
        <v>38</v>
      </c>
      <c r="C5" s="2" t="s">
        <v>85</v>
      </c>
      <c r="D5" s="1">
        <v>0.13980000000000001</v>
      </c>
      <c r="E5" s="1">
        <v>7.4700000000000003E-2</v>
      </c>
    </row>
  </sheetData>
  <hyperlinks>
    <hyperlink ref="C2" r:id="rId1" xr:uid="{E8964E44-60CB-45C5-863B-CF876E57F8D1}"/>
    <hyperlink ref="C4" r:id="rId2" xr:uid="{4F125004-05E3-4432-A429-15B93A0078C2}"/>
    <hyperlink ref="C3" r:id="rId3" xr:uid="{4CC8F09F-550D-47D8-A6BC-0DC36C3DB1C6}"/>
    <hyperlink ref="C5" r:id="rId4" xr:uid="{9A6EB706-A2EC-4F9D-BCE0-45B9166B653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F6BB-F43D-4143-803F-6BE6946CBCFD}">
  <dimension ref="A1:E11"/>
  <sheetViews>
    <sheetView workbookViewId="0">
      <selection activeCell="C18" sqref="C18"/>
    </sheetView>
  </sheetViews>
  <sheetFormatPr baseColWidth="10" defaultRowHeight="14.25" x14ac:dyDescent="0.45"/>
  <cols>
    <col min="1" max="1" width="59.59765625" customWidth="1"/>
    <col min="2" max="2" width="19.3984375" bestFit="1" customWidth="1"/>
  </cols>
  <sheetData>
    <row r="1" spans="1:5" ht="14.65" thickBot="1" x14ac:dyDescent="0.5">
      <c r="A1" s="3" t="s">
        <v>17</v>
      </c>
      <c r="B1" s="4" t="s">
        <v>18</v>
      </c>
      <c r="C1" s="4" t="s">
        <v>19</v>
      </c>
      <c r="D1" s="4" t="s">
        <v>9</v>
      </c>
      <c r="E1" s="5" t="s">
        <v>10</v>
      </c>
    </row>
    <row r="2" spans="1:5" x14ac:dyDescent="0.45">
      <c r="A2" t="s">
        <v>261</v>
      </c>
      <c r="B2" t="s">
        <v>262</v>
      </c>
      <c r="C2" s="2" t="s">
        <v>84</v>
      </c>
      <c r="D2" s="1">
        <v>0.12130000000000001</v>
      </c>
      <c r="E2" s="1">
        <v>-3.5200000000000002E-2</v>
      </c>
    </row>
    <row r="3" spans="1:5" x14ac:dyDescent="0.45">
      <c r="A3" t="s">
        <v>264</v>
      </c>
      <c r="B3" t="s">
        <v>263</v>
      </c>
      <c r="C3" s="2" t="s">
        <v>265</v>
      </c>
      <c r="D3" s="1">
        <v>0.1124</v>
      </c>
      <c r="E3" s="1">
        <v>0.29880000000000001</v>
      </c>
    </row>
    <row r="4" spans="1:5" x14ac:dyDescent="0.45">
      <c r="A4" t="s">
        <v>266</v>
      </c>
      <c r="B4" t="s">
        <v>267</v>
      </c>
      <c r="C4" s="2" t="s">
        <v>268</v>
      </c>
      <c r="D4" s="1">
        <v>0.1515</v>
      </c>
      <c r="E4" s="1">
        <v>0.12959999999999999</v>
      </c>
    </row>
    <row r="5" spans="1:5" x14ac:dyDescent="0.45">
      <c r="A5" t="s">
        <v>269</v>
      </c>
      <c r="B5" t="s">
        <v>271</v>
      </c>
      <c r="C5" s="2" t="s">
        <v>270</v>
      </c>
      <c r="D5" s="1">
        <v>0.59109999999999996</v>
      </c>
      <c r="E5" s="1">
        <v>0.1071</v>
      </c>
    </row>
    <row r="6" spans="1:5" x14ac:dyDescent="0.45">
      <c r="A6" t="s">
        <v>272</v>
      </c>
      <c r="B6" t="s">
        <v>273</v>
      </c>
      <c r="C6" s="2" t="s">
        <v>274</v>
      </c>
      <c r="D6" s="18" t="s">
        <v>93</v>
      </c>
      <c r="E6" s="18" t="s">
        <v>93</v>
      </c>
    </row>
    <row r="7" spans="1:5" x14ac:dyDescent="0.45">
      <c r="A7" t="s">
        <v>275</v>
      </c>
      <c r="B7" t="s">
        <v>125</v>
      </c>
      <c r="C7" s="2" t="s">
        <v>276</v>
      </c>
      <c r="D7" s="1">
        <v>1.1000000000000001E-3</v>
      </c>
      <c r="E7" s="1">
        <v>3.8600000000000002E-2</v>
      </c>
    </row>
    <row r="8" spans="1:5" x14ac:dyDescent="0.45">
      <c r="A8" t="s">
        <v>287</v>
      </c>
      <c r="B8" t="s">
        <v>288</v>
      </c>
      <c r="C8" s="2" t="s">
        <v>289</v>
      </c>
      <c r="D8" s="1">
        <v>0.1321</v>
      </c>
      <c r="E8" s="1">
        <v>-5.6800000000000003E-2</v>
      </c>
    </row>
    <row r="11" spans="1:5" x14ac:dyDescent="0.45">
      <c r="C11" s="2"/>
    </row>
  </sheetData>
  <hyperlinks>
    <hyperlink ref="C3" r:id="rId1" xr:uid="{F1FCBC4B-1965-4CED-A33D-C5723D0CBB85}"/>
    <hyperlink ref="C2" r:id="rId2" xr:uid="{643B9D0C-0AE9-4608-BAB6-848CA210EAF4}"/>
    <hyperlink ref="C4" r:id="rId3" xr:uid="{159CDDAB-D044-4F66-8ECC-2771208532C4}"/>
    <hyperlink ref="C5" r:id="rId4" xr:uid="{7C2ACF27-B1CF-49E4-A820-C8F099B5FAA8}"/>
    <hyperlink ref="C6" r:id="rId5" xr:uid="{25974162-1C32-4AEE-9C86-4A85D33372B7}"/>
    <hyperlink ref="C7" r:id="rId6" xr:uid="{537A6C0D-0FEC-45B0-A0FD-72E712E5EB2C}"/>
    <hyperlink ref="C8" r:id="rId7" xr:uid="{51B68D24-6546-4219-A67E-E69C0DF8A9A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0E7D-2907-4120-9C0E-0B5CA4760BC3}">
  <dimension ref="A1:E22"/>
  <sheetViews>
    <sheetView workbookViewId="0">
      <selection activeCell="A2" sqref="A2:E2"/>
    </sheetView>
  </sheetViews>
  <sheetFormatPr baseColWidth="10" defaultRowHeight="14.25" x14ac:dyDescent="0.45"/>
  <cols>
    <col min="1" max="1" width="62.1328125" bestFit="1" customWidth="1"/>
    <col min="2" max="2" width="12.796875" bestFit="1" customWidth="1"/>
  </cols>
  <sheetData>
    <row r="1" spans="1:5" ht="14.65" thickBot="1" x14ac:dyDescent="0.5">
      <c r="A1" s="3" t="s">
        <v>17</v>
      </c>
      <c r="B1" s="4" t="s">
        <v>18</v>
      </c>
      <c r="C1" s="4" t="s">
        <v>19</v>
      </c>
      <c r="D1" s="4" t="s">
        <v>9</v>
      </c>
      <c r="E1" s="5" t="s">
        <v>10</v>
      </c>
    </row>
    <row r="2" spans="1:5" x14ac:dyDescent="0.45">
      <c r="A2" t="s">
        <v>41</v>
      </c>
      <c r="B2" t="s">
        <v>42</v>
      </c>
      <c r="C2" s="2" t="s">
        <v>40</v>
      </c>
      <c r="D2" s="1">
        <v>2.3699999999999999E-2</v>
      </c>
      <c r="E2" s="1">
        <v>6.5699999999999995E-2</v>
      </c>
    </row>
    <row r="3" spans="1:5" x14ac:dyDescent="0.45">
      <c r="A3" t="s">
        <v>179</v>
      </c>
      <c r="B3" s="18" t="s">
        <v>180</v>
      </c>
      <c r="C3" s="2" t="s">
        <v>290</v>
      </c>
      <c r="D3" s="1">
        <v>8.5800000000000001E-2</v>
      </c>
      <c r="E3" s="1">
        <v>-3.5799999999999998E-2</v>
      </c>
    </row>
    <row r="4" spans="1:5" x14ac:dyDescent="0.45">
      <c r="A4" t="s">
        <v>294</v>
      </c>
      <c r="B4" t="s">
        <v>293</v>
      </c>
      <c r="C4" s="2" t="s">
        <v>131</v>
      </c>
      <c r="D4" s="1">
        <v>5.6599999999999998E-2</v>
      </c>
      <c r="E4" s="1">
        <v>2.7000000000000001E-3</v>
      </c>
    </row>
    <row r="5" spans="1:5" x14ac:dyDescent="0.45">
      <c r="A5" t="s">
        <v>296</v>
      </c>
      <c r="B5" t="s">
        <v>295</v>
      </c>
      <c r="C5" s="21" t="s">
        <v>251</v>
      </c>
      <c r="D5" s="1">
        <v>0.1007</v>
      </c>
      <c r="E5" s="1">
        <v>5.3199999999999997E-2</v>
      </c>
    </row>
    <row r="6" spans="1:5" x14ac:dyDescent="0.45">
      <c r="A6" t="s">
        <v>297</v>
      </c>
      <c r="B6" t="s">
        <v>298</v>
      </c>
      <c r="C6" s="2" t="s">
        <v>299</v>
      </c>
      <c r="D6" s="1">
        <v>3.0499999999999999E-2</v>
      </c>
      <c r="E6" s="1">
        <v>1.9099999999999999E-2</v>
      </c>
    </row>
    <row r="7" spans="1:5" x14ac:dyDescent="0.45">
      <c r="C7" s="2"/>
      <c r="D7" s="1"/>
      <c r="E7" s="21"/>
    </row>
    <row r="9" spans="1:5" x14ac:dyDescent="0.45">
      <c r="E9" s="11"/>
    </row>
    <row r="10" spans="1:5" x14ac:dyDescent="0.45">
      <c r="E10" s="11"/>
    </row>
    <row r="11" spans="1:5" x14ac:dyDescent="0.45">
      <c r="E11" s="11"/>
    </row>
    <row r="12" spans="1:5" x14ac:dyDescent="0.45">
      <c r="E12" s="11"/>
    </row>
    <row r="13" spans="1:5" x14ac:dyDescent="0.45">
      <c r="E13" s="11"/>
    </row>
    <row r="14" spans="1:5" x14ac:dyDescent="0.45">
      <c r="E14" s="11"/>
    </row>
    <row r="15" spans="1:5" x14ac:dyDescent="0.45">
      <c r="E15" s="11"/>
    </row>
    <row r="16" spans="1:5" x14ac:dyDescent="0.45">
      <c r="E16" s="11"/>
    </row>
    <row r="17" spans="5:5" x14ac:dyDescent="0.45">
      <c r="E17" s="11"/>
    </row>
    <row r="18" spans="5:5" x14ac:dyDescent="0.45">
      <c r="E18" s="11"/>
    </row>
    <row r="19" spans="5:5" x14ac:dyDescent="0.45">
      <c r="E19" s="11"/>
    </row>
    <row r="20" spans="5:5" x14ac:dyDescent="0.45">
      <c r="E20" s="11"/>
    </row>
    <row r="21" spans="5:5" x14ac:dyDescent="0.45">
      <c r="E21" s="11"/>
    </row>
    <row r="22" spans="5:5" x14ac:dyDescent="0.45">
      <c r="E22" s="11"/>
    </row>
  </sheetData>
  <hyperlinks>
    <hyperlink ref="C2" r:id="rId1" xr:uid="{F5DC6110-948F-42B8-AADD-AD7410FF3F70}"/>
    <hyperlink ref="C3" r:id="rId2" xr:uid="{B24B6BF3-6147-4D7F-8AAC-6F5ADA45553C}"/>
    <hyperlink ref="C4" r:id="rId3" xr:uid="{CB4DF9B0-F22C-49DA-A286-595092DC3BB4}"/>
    <hyperlink ref="C5" r:id="rId4" xr:uid="{D2769091-C3E7-44D5-9FA7-1A44ADEE355E}"/>
    <hyperlink ref="C6" r:id="rId5" xr:uid="{35ED848C-94AD-4F7E-A71B-3E348531ECB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0F2B-78BF-48B1-AB14-927608A871B0}">
  <dimension ref="A1:G16"/>
  <sheetViews>
    <sheetView workbookViewId="0">
      <selection activeCell="A13" sqref="A13:E14"/>
    </sheetView>
  </sheetViews>
  <sheetFormatPr baseColWidth="10" defaultRowHeight="14.25" x14ac:dyDescent="0.45"/>
  <cols>
    <col min="1" max="1" width="47" customWidth="1"/>
    <col min="2" max="2" width="12.6640625" bestFit="1" customWidth="1"/>
  </cols>
  <sheetData>
    <row r="1" spans="1:7" ht="14.65" thickBot="1" x14ac:dyDescent="0.5">
      <c r="A1" s="3" t="s">
        <v>17</v>
      </c>
      <c r="B1" s="4" t="s">
        <v>18</v>
      </c>
      <c r="C1" s="4" t="s">
        <v>19</v>
      </c>
      <c r="D1" s="4" t="s">
        <v>9</v>
      </c>
      <c r="E1" s="5" t="s">
        <v>10</v>
      </c>
    </row>
    <row r="2" spans="1:7" x14ac:dyDescent="0.45">
      <c r="A2" t="s">
        <v>71</v>
      </c>
      <c r="B2" t="s">
        <v>70</v>
      </c>
      <c r="C2" s="2" t="s">
        <v>69</v>
      </c>
      <c r="D2" s="1">
        <v>7.7999999999999996E-3</v>
      </c>
      <c r="E2" s="1">
        <v>4.36E-2</v>
      </c>
    </row>
    <row r="3" spans="1:7" x14ac:dyDescent="0.45">
      <c r="A3" t="s">
        <v>72</v>
      </c>
      <c r="B3" t="s">
        <v>74</v>
      </c>
      <c r="C3" s="2" t="s">
        <v>73</v>
      </c>
      <c r="D3" s="1">
        <v>2.07E-2</v>
      </c>
      <c r="E3" s="1">
        <v>6.54E-2</v>
      </c>
    </row>
    <row r="4" spans="1:7" x14ac:dyDescent="0.45">
      <c r="A4" t="s">
        <v>118</v>
      </c>
      <c r="B4" t="s">
        <v>128</v>
      </c>
      <c r="C4" s="2" t="s">
        <v>119</v>
      </c>
      <c r="D4" s="1">
        <v>2.8500000000000001E-2</v>
      </c>
      <c r="E4" s="1">
        <v>3.32E-2</v>
      </c>
    </row>
    <row r="5" spans="1:7" x14ac:dyDescent="0.45">
      <c r="A5" s="22" t="s">
        <v>277</v>
      </c>
      <c r="B5" s="22" t="s">
        <v>278</v>
      </c>
      <c r="C5" s="23" t="s">
        <v>136</v>
      </c>
      <c r="D5" s="24">
        <v>8.8999999999999999E-3</v>
      </c>
      <c r="E5" s="24">
        <v>4.4400000000000002E-2</v>
      </c>
    </row>
    <row r="6" spans="1:7" x14ac:dyDescent="0.45">
      <c r="A6" t="s">
        <v>279</v>
      </c>
      <c r="B6" t="s">
        <v>280</v>
      </c>
      <c r="C6" s="2" t="s">
        <v>139</v>
      </c>
      <c r="D6" s="1">
        <v>3.32E-2</v>
      </c>
      <c r="E6" s="1">
        <v>6.1100000000000002E-2</v>
      </c>
    </row>
    <row r="7" spans="1:7" x14ac:dyDescent="0.45">
      <c r="A7" s="22" t="s">
        <v>282</v>
      </c>
      <c r="B7" s="22" t="s">
        <v>281</v>
      </c>
      <c r="C7" s="23" t="s">
        <v>141</v>
      </c>
      <c r="D7" s="24">
        <v>1.49E-2</v>
      </c>
      <c r="E7" s="24">
        <v>5.2699999999999997E-2</v>
      </c>
      <c r="G7" s="2"/>
    </row>
    <row r="8" spans="1:7" x14ac:dyDescent="0.45">
      <c r="A8" t="s">
        <v>292</v>
      </c>
      <c r="B8" t="s">
        <v>291</v>
      </c>
      <c r="C8" s="2" t="s">
        <v>217</v>
      </c>
      <c r="D8" s="1">
        <v>5.1000000000000004E-3</v>
      </c>
      <c r="E8" s="1">
        <v>4.1300000000000003E-2</v>
      </c>
      <c r="G8" s="2"/>
    </row>
    <row r="9" spans="1:7" x14ac:dyDescent="0.45">
      <c r="A9" t="s">
        <v>283</v>
      </c>
      <c r="B9" t="s">
        <v>284</v>
      </c>
      <c r="C9" s="2" t="s">
        <v>149</v>
      </c>
      <c r="D9" s="1">
        <v>3.8300000000000001E-2</v>
      </c>
      <c r="E9" s="1">
        <v>0.1487</v>
      </c>
      <c r="F9" s="2"/>
    </row>
    <row r="10" spans="1:7" x14ac:dyDescent="0.45">
      <c r="A10" s="22" t="s">
        <v>34</v>
      </c>
      <c r="B10" s="22" t="s">
        <v>36</v>
      </c>
      <c r="C10" s="23" t="s">
        <v>35</v>
      </c>
      <c r="D10" s="24">
        <v>1.7399999999999999E-2</v>
      </c>
      <c r="E10" s="24">
        <v>4.9299999999999997E-2</v>
      </c>
    </row>
    <row r="11" spans="1:7" x14ac:dyDescent="0.45">
      <c r="A11" t="s">
        <v>285</v>
      </c>
      <c r="B11" t="s">
        <v>286</v>
      </c>
      <c r="C11" s="2" t="s">
        <v>210</v>
      </c>
      <c r="D11" s="1">
        <v>8.6E-3</v>
      </c>
      <c r="E11" s="1">
        <v>4.3E-3</v>
      </c>
    </row>
    <row r="12" spans="1:7" x14ac:dyDescent="0.45">
      <c r="A12" t="s">
        <v>301</v>
      </c>
      <c r="B12" t="s">
        <v>302</v>
      </c>
      <c r="C12" s="2" t="s">
        <v>300</v>
      </c>
      <c r="D12" s="1">
        <v>8.1799999999999998E-2</v>
      </c>
      <c r="E12" s="1">
        <v>3.1699999999999999E-2</v>
      </c>
    </row>
    <row r="13" spans="1:7" x14ac:dyDescent="0.45">
      <c r="A13" s="22" t="s">
        <v>303</v>
      </c>
      <c r="B13" s="22" t="s">
        <v>304</v>
      </c>
      <c r="C13" s="23" t="s">
        <v>305</v>
      </c>
      <c r="D13" s="24">
        <v>3.6999999999999998E-2</v>
      </c>
      <c r="E13" s="24">
        <v>0.15629999999999999</v>
      </c>
    </row>
    <row r="14" spans="1:7" x14ac:dyDescent="0.45">
      <c r="A14" t="s">
        <v>316</v>
      </c>
      <c r="B14" t="s">
        <v>318</v>
      </c>
      <c r="C14" s="2" t="s">
        <v>317</v>
      </c>
      <c r="D14" s="1">
        <v>2.5899999999999999E-2</v>
      </c>
      <c r="E14" s="1">
        <v>8.4199999999999997E-2</v>
      </c>
    </row>
    <row r="15" spans="1:7" x14ac:dyDescent="0.45">
      <c r="A15" t="s">
        <v>346</v>
      </c>
      <c r="B15" t="s">
        <v>347</v>
      </c>
      <c r="C15" s="2" t="s">
        <v>324</v>
      </c>
      <c r="D15" s="1">
        <v>3.2899999999999999E-2</v>
      </c>
      <c r="E15" s="1">
        <v>0.13020000000000001</v>
      </c>
    </row>
    <row r="16" spans="1:7" x14ac:dyDescent="0.45">
      <c r="A16" t="s">
        <v>348</v>
      </c>
      <c r="B16" t="s">
        <v>349</v>
      </c>
      <c r="C16" s="2" t="s">
        <v>325</v>
      </c>
      <c r="D16" s="1">
        <v>5.9900000000000002E-2</v>
      </c>
      <c r="E16" s="1">
        <v>7.3300000000000004E-2</v>
      </c>
    </row>
  </sheetData>
  <hyperlinks>
    <hyperlink ref="C2" r:id="rId1" xr:uid="{4392886E-E71E-4242-82EA-98E457CADAD6}"/>
    <hyperlink ref="C3" r:id="rId2" xr:uid="{7DDF7A4F-9A5F-4F73-AE6D-699F58113A89}"/>
    <hyperlink ref="C4" r:id="rId3" xr:uid="{E8EE8DBD-4A04-4AD9-A276-C8163A12D9AB}"/>
    <hyperlink ref="C5" r:id="rId4" xr:uid="{A4B6F719-A165-4656-A6B7-2168FF11CE52}"/>
    <hyperlink ref="C6" r:id="rId5" xr:uid="{9F6D2F25-36A1-42A1-A9C9-5083DB9B0C43}"/>
    <hyperlink ref="C7" r:id="rId6" xr:uid="{62B36B74-0FB9-462F-9AAB-0207E30103DC}"/>
    <hyperlink ref="C9" r:id="rId7" xr:uid="{3565A631-35D8-4FD2-A91D-416B7186EAB0}"/>
    <hyperlink ref="C10" r:id="rId8" xr:uid="{61E42CCF-D8F4-42A2-9014-09993A81BE51}"/>
    <hyperlink ref="C11" r:id="rId9" xr:uid="{0F0FED89-4BC7-4019-A6F1-A5EC9CDD1F4B}"/>
    <hyperlink ref="C8" r:id="rId10" xr:uid="{229511B8-D428-4ED5-BD7F-83668EC9E182}"/>
    <hyperlink ref="C12" r:id="rId11" xr:uid="{1568B4F3-BBF9-4F7C-8405-4E25376A21AA}"/>
    <hyperlink ref="C13" r:id="rId12" xr:uid="{1072577C-2655-4296-A5F3-A717F3A96647}"/>
    <hyperlink ref="C14" r:id="rId13" xr:uid="{8C1A6124-2530-42E1-AFEE-66ECB33A36A1}"/>
    <hyperlink ref="C15" r:id="rId14" xr:uid="{695C61C5-A916-40B6-8BE6-C43E04A86A3A}"/>
    <hyperlink ref="C16" r:id="rId15" xr:uid="{3F749DA9-2943-4F78-BA8B-D86CC779B873}"/>
  </hyperlinks>
  <pageMargins left="0.7" right="0.7" top="0.75" bottom="0.75" header="0.3" footer="0.3"/>
  <pageSetup paperSize="9" orientation="portrait" r:id="rId1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CE64-78D9-4F93-8310-12597E6ED4E9}">
  <dimension ref="B3:B27"/>
  <sheetViews>
    <sheetView workbookViewId="0">
      <selection activeCell="H25" sqref="H25"/>
    </sheetView>
  </sheetViews>
  <sheetFormatPr baseColWidth="10" defaultRowHeight="14.25" x14ac:dyDescent="0.45"/>
  <sheetData>
    <row r="3" spans="2:2" x14ac:dyDescent="0.45">
      <c r="B3" s="19" t="s">
        <v>182</v>
      </c>
    </row>
    <row r="4" spans="2:2" x14ac:dyDescent="0.45">
      <c r="B4" s="19" t="s">
        <v>183</v>
      </c>
    </row>
    <row r="5" spans="2:2" x14ac:dyDescent="0.45">
      <c r="B5" s="19" t="s">
        <v>184</v>
      </c>
    </row>
    <row r="6" spans="2:2" x14ac:dyDescent="0.45">
      <c r="B6" s="19" t="s">
        <v>185</v>
      </c>
    </row>
    <row r="7" spans="2:2" x14ac:dyDescent="0.45">
      <c r="B7" s="19" t="s">
        <v>186</v>
      </c>
    </row>
    <row r="8" spans="2:2" x14ac:dyDescent="0.45">
      <c r="B8" s="19" t="s">
        <v>187</v>
      </c>
    </row>
    <row r="9" spans="2:2" x14ac:dyDescent="0.45">
      <c r="B9" s="19" t="s">
        <v>188</v>
      </c>
    </row>
    <row r="10" spans="2:2" x14ac:dyDescent="0.45">
      <c r="B10" s="19" t="s">
        <v>189</v>
      </c>
    </row>
    <row r="11" spans="2:2" x14ac:dyDescent="0.45">
      <c r="B11" s="19" t="s">
        <v>190</v>
      </c>
    </row>
    <row r="12" spans="2:2" x14ac:dyDescent="0.45">
      <c r="B12" s="19" t="s">
        <v>191</v>
      </c>
    </row>
    <row r="13" spans="2:2" x14ac:dyDescent="0.45">
      <c r="B13" s="19" t="s">
        <v>192</v>
      </c>
    </row>
    <row r="14" spans="2:2" x14ac:dyDescent="0.45">
      <c r="B14" s="19" t="s">
        <v>193</v>
      </c>
    </row>
    <row r="15" spans="2:2" x14ac:dyDescent="0.45">
      <c r="B15" s="19" t="s">
        <v>194</v>
      </c>
    </row>
    <row r="16" spans="2:2" x14ac:dyDescent="0.45">
      <c r="B16" s="19" t="s">
        <v>195</v>
      </c>
    </row>
    <row r="17" spans="2:2" x14ac:dyDescent="0.45">
      <c r="B17" s="19" t="s">
        <v>196</v>
      </c>
    </row>
    <row r="18" spans="2:2" x14ac:dyDescent="0.45">
      <c r="B18" s="19" t="s">
        <v>197</v>
      </c>
    </row>
    <row r="19" spans="2:2" x14ac:dyDescent="0.45">
      <c r="B19" s="19" t="s">
        <v>198</v>
      </c>
    </row>
    <row r="20" spans="2:2" x14ac:dyDescent="0.45">
      <c r="B20" s="19" t="s">
        <v>199</v>
      </c>
    </row>
    <row r="21" spans="2:2" x14ac:dyDescent="0.45">
      <c r="B21" s="19" t="s">
        <v>200</v>
      </c>
    </row>
    <row r="22" spans="2:2" x14ac:dyDescent="0.45">
      <c r="B22" s="19" t="s">
        <v>201</v>
      </c>
    </row>
    <row r="23" spans="2:2" x14ac:dyDescent="0.45">
      <c r="B23" s="19" t="s">
        <v>202</v>
      </c>
    </row>
    <row r="24" spans="2:2" x14ac:dyDescent="0.45">
      <c r="B24" s="19" t="s">
        <v>203</v>
      </c>
    </row>
    <row r="25" spans="2:2" x14ac:dyDescent="0.45">
      <c r="B25" s="19" t="s">
        <v>204</v>
      </c>
    </row>
    <row r="26" spans="2:2" x14ac:dyDescent="0.45">
      <c r="B26" s="19" t="s">
        <v>205</v>
      </c>
    </row>
    <row r="27" spans="2:2" x14ac:dyDescent="0.45">
      <c r="B27" s="19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D0E2-2DC0-4BEB-95BA-D926D99D6AA5}">
  <dimension ref="B2:L112"/>
  <sheetViews>
    <sheetView tabSelected="1" topLeftCell="A60" zoomScaleNormal="100" workbookViewId="0">
      <selection activeCell="D78" sqref="D78:K78"/>
    </sheetView>
  </sheetViews>
  <sheetFormatPr baseColWidth="10" defaultRowHeight="14.25" x14ac:dyDescent="0.45"/>
  <cols>
    <col min="4" max="4" width="29.59765625" customWidth="1"/>
    <col min="5" max="5" width="16.46484375" customWidth="1"/>
    <col min="6" max="6" width="16.19921875" bestFit="1" customWidth="1"/>
    <col min="8" max="8" width="17.06640625" customWidth="1"/>
    <col min="10" max="10" width="18" customWidth="1"/>
  </cols>
  <sheetData>
    <row r="2" spans="4:9" x14ac:dyDescent="0.45">
      <c r="D2" t="s">
        <v>150</v>
      </c>
    </row>
    <row r="4" spans="4:9" x14ac:dyDescent="0.45">
      <c r="D4" t="s">
        <v>151</v>
      </c>
      <c r="F4" s="12"/>
      <c r="G4" s="13" t="s">
        <v>152</v>
      </c>
      <c r="H4" s="12"/>
      <c r="I4" s="12"/>
    </row>
    <row r="6" spans="4:9" x14ac:dyDescent="0.45">
      <c r="D6" t="s">
        <v>153</v>
      </c>
    </row>
    <row r="8" spans="4:9" x14ac:dyDescent="0.45">
      <c r="D8" t="s">
        <v>154</v>
      </c>
    </row>
    <row r="10" spans="4:9" x14ac:dyDescent="0.45">
      <c r="D10" t="s">
        <v>155</v>
      </c>
    </row>
    <row r="12" spans="4:9" x14ac:dyDescent="0.45">
      <c r="D12" t="s">
        <v>156</v>
      </c>
      <c r="E12" t="s">
        <v>157</v>
      </c>
    </row>
    <row r="13" spans="4:9" x14ac:dyDescent="0.45">
      <c r="D13">
        <v>200000</v>
      </c>
      <c r="E13">
        <v>1000</v>
      </c>
    </row>
    <row r="14" spans="4:9" x14ac:dyDescent="0.45">
      <c r="D14">
        <v>150000</v>
      </c>
      <c r="E14">
        <v>750</v>
      </c>
    </row>
    <row r="15" spans="4:9" x14ac:dyDescent="0.45">
      <c r="D15">
        <v>100000</v>
      </c>
      <c r="E15">
        <v>500</v>
      </c>
    </row>
    <row r="17" spans="4:12" x14ac:dyDescent="0.45">
      <c r="D17" t="s">
        <v>158</v>
      </c>
    </row>
    <row r="18" spans="4:12" x14ac:dyDescent="0.45">
      <c r="D18" t="s">
        <v>159</v>
      </c>
      <c r="J18" s="15" t="s">
        <v>160</v>
      </c>
      <c r="K18" s="15" t="s">
        <v>161</v>
      </c>
      <c r="L18" s="15"/>
    </row>
    <row r="19" spans="4:12" x14ac:dyDescent="0.45">
      <c r="D19" t="s">
        <v>162</v>
      </c>
    </row>
    <row r="20" spans="4:12" x14ac:dyDescent="0.45">
      <c r="D20" t="s">
        <v>163</v>
      </c>
      <c r="G20" t="s">
        <v>164</v>
      </c>
    </row>
    <row r="22" spans="4:12" x14ac:dyDescent="0.45">
      <c r="D22" t="s">
        <v>165</v>
      </c>
    </row>
    <row r="24" spans="4:12" x14ac:dyDescent="0.45">
      <c r="D24" s="15" t="s">
        <v>0</v>
      </c>
      <c r="E24" s="15" t="s">
        <v>3</v>
      </c>
      <c r="F24" s="16" t="s">
        <v>15</v>
      </c>
      <c r="G24" s="17">
        <v>8.0000000000000004E-4</v>
      </c>
      <c r="H24" s="17">
        <v>4.02E-2</v>
      </c>
      <c r="J24" s="15" t="s">
        <v>143</v>
      </c>
    </row>
    <row r="25" spans="4:12" x14ac:dyDescent="0.45">
      <c r="D25" s="15" t="s">
        <v>1</v>
      </c>
      <c r="E25" s="15" t="s">
        <v>4</v>
      </c>
      <c r="F25" s="16" t="s">
        <v>14</v>
      </c>
      <c r="G25" s="17">
        <v>8.9999999999999998E-4</v>
      </c>
      <c r="H25" s="17">
        <v>4.0899999999999999E-2</v>
      </c>
    </row>
    <row r="26" spans="4:12" x14ac:dyDescent="0.45">
      <c r="D26" s="15" t="s">
        <v>2</v>
      </c>
      <c r="E26" s="15" t="s">
        <v>5</v>
      </c>
      <c r="F26" s="16" t="s">
        <v>8</v>
      </c>
      <c r="G26" s="17">
        <v>8.0000000000000004E-4</v>
      </c>
      <c r="H26" s="17">
        <v>4.1599999999999998E-2</v>
      </c>
    </row>
    <row r="27" spans="4:12" x14ac:dyDescent="0.45">
      <c r="D27" s="12" t="s">
        <v>6</v>
      </c>
      <c r="E27" s="12" t="s">
        <v>104</v>
      </c>
      <c r="F27" s="13" t="s">
        <v>11</v>
      </c>
      <c r="G27" s="14">
        <v>1E-3</v>
      </c>
      <c r="H27" s="14">
        <v>3.9600000000000003E-2</v>
      </c>
      <c r="J27" s="12" t="s">
        <v>142</v>
      </c>
    </row>
    <row r="28" spans="4:12" x14ac:dyDescent="0.45">
      <c r="D28" s="2" t="s">
        <v>166</v>
      </c>
      <c r="F28" t="s">
        <v>208</v>
      </c>
    </row>
    <row r="29" spans="4:12" x14ac:dyDescent="0.45">
      <c r="D29" s="2" t="s">
        <v>167</v>
      </c>
      <c r="F29" t="s">
        <v>309</v>
      </c>
    </row>
    <row r="31" spans="4:12" x14ac:dyDescent="0.45">
      <c r="D31" t="s">
        <v>310</v>
      </c>
    </row>
    <row r="33" spans="2:10" x14ac:dyDescent="0.45">
      <c r="D33" t="s">
        <v>311</v>
      </c>
    </row>
    <row r="35" spans="2:10" x14ac:dyDescent="0.45">
      <c r="D35" t="s">
        <v>312</v>
      </c>
    </row>
    <row r="36" spans="2:10" x14ac:dyDescent="0.45">
      <c r="B36">
        <v>400</v>
      </c>
    </row>
    <row r="37" spans="2:10" x14ac:dyDescent="0.45">
      <c r="B37">
        <f>C37*B36</f>
        <v>80</v>
      </c>
      <c r="C37" s="6">
        <v>0.2</v>
      </c>
      <c r="D37" t="s">
        <v>47</v>
      </c>
      <c r="E37" t="s">
        <v>138</v>
      </c>
      <c r="F37" s="2" t="s">
        <v>358</v>
      </c>
      <c r="G37" s="1" t="s">
        <v>93</v>
      </c>
      <c r="H37" s="1"/>
      <c r="J37" s="2" t="s">
        <v>315</v>
      </c>
    </row>
    <row r="38" spans="2:10" x14ac:dyDescent="0.45">
      <c r="B38">
        <f>B36*C38</f>
        <v>320</v>
      </c>
      <c r="C38" s="6">
        <v>0.8</v>
      </c>
      <c r="D38" t="s">
        <v>48</v>
      </c>
      <c r="E38" t="s">
        <v>50</v>
      </c>
      <c r="F38" s="2" t="s">
        <v>49</v>
      </c>
      <c r="G38" s="1">
        <v>0.1038</v>
      </c>
      <c r="H38" s="1">
        <v>0.19389999999999999</v>
      </c>
    </row>
    <row r="39" spans="2:10" x14ac:dyDescent="0.45">
      <c r="C39" s="6"/>
      <c r="F39" s="2"/>
      <c r="G39" s="1"/>
      <c r="H39" s="1"/>
    </row>
    <row r="40" spans="2:10" x14ac:dyDescent="0.45">
      <c r="C40" s="6"/>
      <c r="D40" t="s">
        <v>168</v>
      </c>
      <c r="F40" s="2"/>
      <c r="G40" s="1"/>
      <c r="H40" s="1"/>
    </row>
    <row r="42" spans="2:10" x14ac:dyDescent="0.45">
      <c r="C42" s="15"/>
      <c r="D42" s="16" t="s">
        <v>313</v>
      </c>
      <c r="E42" s="15"/>
      <c r="F42" s="15" t="s">
        <v>314</v>
      </c>
      <c r="G42" s="15"/>
      <c r="H42" s="15"/>
    </row>
    <row r="44" spans="2:10" x14ac:dyDescent="0.45">
      <c r="D44" t="s">
        <v>169</v>
      </c>
      <c r="G44" t="s">
        <v>170</v>
      </c>
    </row>
    <row r="45" spans="2:10" x14ac:dyDescent="0.45">
      <c r="C45" s="12"/>
      <c r="D45" s="13" t="s">
        <v>171</v>
      </c>
      <c r="E45" s="12"/>
    </row>
    <row r="47" spans="2:10" x14ac:dyDescent="0.45">
      <c r="D47" t="s">
        <v>172</v>
      </c>
    </row>
    <row r="48" spans="2:10" x14ac:dyDescent="0.45">
      <c r="D48" t="s">
        <v>173</v>
      </c>
      <c r="E48" t="s">
        <v>174</v>
      </c>
    </row>
    <row r="49" spans="4:11" x14ac:dyDescent="0.45">
      <c r="D49" t="s">
        <v>175</v>
      </c>
      <c r="E49" t="s">
        <v>176</v>
      </c>
    </row>
    <row r="51" spans="4:11" s="12" customFormat="1" x14ac:dyDescent="0.45"/>
    <row r="53" spans="4:11" x14ac:dyDescent="0.45">
      <c r="F53" t="s">
        <v>355</v>
      </c>
      <c r="G53" t="s">
        <v>356</v>
      </c>
      <c r="H53" t="s">
        <v>357</v>
      </c>
      <c r="I53" s="28">
        <v>120000</v>
      </c>
    </row>
    <row r="54" spans="4:11" x14ac:dyDescent="0.45">
      <c r="E54" t="s">
        <v>350</v>
      </c>
      <c r="F54" s="1">
        <v>0.02</v>
      </c>
      <c r="G54" s="27">
        <v>0</v>
      </c>
      <c r="H54" s="1">
        <f>G54*F54</f>
        <v>0</v>
      </c>
      <c r="I54">
        <f>$I$53*G54</f>
        <v>0</v>
      </c>
      <c r="J54" t="s">
        <v>364</v>
      </c>
    </row>
    <row r="55" spans="4:11" x14ac:dyDescent="0.45">
      <c r="D55" s="6"/>
      <c r="E55" t="s">
        <v>351</v>
      </c>
      <c r="F55" s="1">
        <v>0.04</v>
      </c>
      <c r="G55" s="27">
        <v>0.4</v>
      </c>
      <c r="H55" s="1">
        <f t="shared" ref="H55:H58" si="0">G55*F55</f>
        <v>1.6E-2</v>
      </c>
      <c r="I55">
        <f t="shared" ref="I55:I58" si="1">$I$53*G55</f>
        <v>48000</v>
      </c>
      <c r="J55" t="s">
        <v>360</v>
      </c>
    </row>
    <row r="56" spans="4:11" x14ac:dyDescent="0.45">
      <c r="D56" s="6"/>
      <c r="E56" t="s">
        <v>352</v>
      </c>
      <c r="F56" s="1">
        <v>5.5E-2</v>
      </c>
      <c r="G56" s="27">
        <v>0.25</v>
      </c>
      <c r="H56" s="1">
        <f>G56*F56</f>
        <v>1.375E-2</v>
      </c>
      <c r="I56">
        <f t="shared" si="1"/>
        <v>30000</v>
      </c>
      <c r="J56" t="s">
        <v>361</v>
      </c>
    </row>
    <row r="57" spans="4:11" x14ac:dyDescent="0.45">
      <c r="D57" s="6"/>
      <c r="E57" t="s">
        <v>353</v>
      </c>
      <c r="F57" s="6">
        <v>0.09</v>
      </c>
      <c r="G57" s="27">
        <v>0.25</v>
      </c>
      <c r="H57" s="1">
        <f t="shared" si="0"/>
        <v>2.2499999999999999E-2</v>
      </c>
      <c r="I57">
        <f t="shared" si="1"/>
        <v>30000</v>
      </c>
      <c r="J57" t="s">
        <v>362</v>
      </c>
    </row>
    <row r="58" spans="4:11" x14ac:dyDescent="0.45">
      <c r="D58" s="6"/>
      <c r="E58" t="s">
        <v>354</v>
      </c>
      <c r="F58" s="6">
        <v>0.05</v>
      </c>
      <c r="G58" s="27">
        <v>0.1</v>
      </c>
      <c r="H58" s="1">
        <f t="shared" si="0"/>
        <v>5.000000000000001E-3</v>
      </c>
      <c r="I58">
        <f t="shared" si="1"/>
        <v>12000</v>
      </c>
      <c r="J58" t="s">
        <v>363</v>
      </c>
    </row>
    <row r="60" spans="4:11" x14ac:dyDescent="0.45">
      <c r="H60" s="1">
        <f>SUM(H54:H58)</f>
        <v>5.7249999999999995E-2</v>
      </c>
      <c r="I60">
        <f>H60*I53</f>
        <v>6869.9999999999991</v>
      </c>
    </row>
    <row r="62" spans="4:11" x14ac:dyDescent="0.45">
      <c r="E62" t="s">
        <v>350</v>
      </c>
      <c r="F62">
        <f>I54</f>
        <v>0</v>
      </c>
    </row>
    <row r="63" spans="4:11" x14ac:dyDescent="0.45">
      <c r="E63" s="15" t="s">
        <v>2</v>
      </c>
      <c r="F63" s="15" t="s">
        <v>5</v>
      </c>
      <c r="G63" s="16" t="s">
        <v>8</v>
      </c>
      <c r="H63" s="17">
        <v>8.0000000000000004E-4</v>
      </c>
      <c r="I63" s="17">
        <v>4.1599999999999998E-2</v>
      </c>
      <c r="J63">
        <f>F62</f>
        <v>0</v>
      </c>
      <c r="K63">
        <v>231000</v>
      </c>
    </row>
    <row r="65" spans="4:10" x14ac:dyDescent="0.45">
      <c r="E65" t="s">
        <v>351</v>
      </c>
      <c r="F65">
        <f>I55</f>
        <v>48000</v>
      </c>
    </row>
    <row r="66" spans="4:10" x14ac:dyDescent="0.45">
      <c r="D66" t="s">
        <v>373</v>
      </c>
      <c r="E66" s="15" t="s">
        <v>214</v>
      </c>
      <c r="F66" s="15" t="s">
        <v>213</v>
      </c>
      <c r="G66" s="16" t="s">
        <v>228</v>
      </c>
      <c r="H66" s="17">
        <v>1.6899999999999998E-2</v>
      </c>
      <c r="I66" s="17">
        <v>9.74E-2</v>
      </c>
      <c r="J66">
        <f>$F$65/3</f>
        <v>16000</v>
      </c>
    </row>
    <row r="67" spans="4:10" x14ac:dyDescent="0.45">
      <c r="D67" t="s">
        <v>372</v>
      </c>
      <c r="E67" s="15" t="s">
        <v>145</v>
      </c>
      <c r="F67" s="15" t="s">
        <v>146</v>
      </c>
      <c r="G67" s="16" t="s">
        <v>144</v>
      </c>
      <c r="H67" s="17">
        <v>1.06E-2</v>
      </c>
      <c r="I67" s="17">
        <v>7.4099999999999999E-2</v>
      </c>
      <c r="J67">
        <f t="shared" ref="J67:J68" si="2">$F$65/3</f>
        <v>16000</v>
      </c>
    </row>
    <row r="68" spans="4:10" x14ac:dyDescent="0.45">
      <c r="D68" t="s">
        <v>371</v>
      </c>
      <c r="E68" s="15" t="s">
        <v>332</v>
      </c>
      <c r="F68" s="15" t="s">
        <v>331</v>
      </c>
      <c r="G68" s="16" t="s">
        <v>320</v>
      </c>
      <c r="H68" s="17">
        <v>1.1599999999999999E-2</v>
      </c>
      <c r="I68" s="17">
        <v>5.3699999999999998E-2</v>
      </c>
      <c r="J68">
        <f t="shared" si="2"/>
        <v>16000</v>
      </c>
    </row>
    <row r="70" spans="4:10" x14ac:dyDescent="0.45">
      <c r="E70" t="s">
        <v>352</v>
      </c>
      <c r="F70">
        <f>I56</f>
        <v>30000</v>
      </c>
    </row>
    <row r="71" spans="4:10" x14ac:dyDescent="0.45">
      <c r="E71" t="s">
        <v>64</v>
      </c>
      <c r="F71" t="s">
        <v>65</v>
      </c>
      <c r="G71" s="2" t="s">
        <v>63</v>
      </c>
      <c r="H71" s="1">
        <v>3.5499999999999997E-2</v>
      </c>
      <c r="I71" s="1">
        <v>0.13109999999999999</v>
      </c>
      <c r="J71" s="25">
        <f>$F$70/4</f>
        <v>7500</v>
      </c>
    </row>
    <row r="72" spans="4:10" x14ac:dyDescent="0.45">
      <c r="E72" t="s">
        <v>114</v>
      </c>
      <c r="F72" t="s">
        <v>115</v>
      </c>
      <c r="G72" s="2" t="s">
        <v>113</v>
      </c>
      <c r="H72" s="1">
        <v>3.4500000000000003E-2</v>
      </c>
      <c r="I72" s="1">
        <v>0.13389999999999999</v>
      </c>
      <c r="J72" s="25">
        <f t="shared" ref="J72:J74" si="3">$F$70/4</f>
        <v>7500</v>
      </c>
    </row>
    <row r="73" spans="4:10" x14ac:dyDescent="0.45">
      <c r="E73" t="s">
        <v>41</v>
      </c>
      <c r="F73" t="s">
        <v>42</v>
      </c>
      <c r="G73" s="2" t="s">
        <v>40</v>
      </c>
      <c r="H73" s="1">
        <v>2.3699999999999999E-2</v>
      </c>
      <c r="I73" s="1">
        <v>6.5699999999999995E-2</v>
      </c>
      <c r="J73" s="25">
        <f t="shared" si="3"/>
        <v>7500</v>
      </c>
    </row>
    <row r="74" spans="4:10" x14ac:dyDescent="0.45">
      <c r="E74" t="s">
        <v>366</v>
      </c>
      <c r="F74" t="s">
        <v>365</v>
      </c>
      <c r="G74" s="2" t="s">
        <v>367</v>
      </c>
      <c r="H74" s="1">
        <v>2.7E-2</v>
      </c>
      <c r="I74" s="1">
        <v>4.6699999999999998E-2</v>
      </c>
      <c r="J74" s="25">
        <f t="shared" si="3"/>
        <v>7500</v>
      </c>
    </row>
    <row r="75" spans="4:10" x14ac:dyDescent="0.45">
      <c r="J75" s="25"/>
    </row>
    <row r="76" spans="4:10" x14ac:dyDescent="0.45">
      <c r="E76" t="s">
        <v>353</v>
      </c>
      <c r="F76">
        <f>I57</f>
        <v>30000</v>
      </c>
    </row>
    <row r="77" spans="4:10" x14ac:dyDescent="0.45">
      <c r="D77" s="6">
        <v>0.2</v>
      </c>
      <c r="E77" t="s">
        <v>47</v>
      </c>
      <c r="F77" t="s">
        <v>138</v>
      </c>
      <c r="G77" s="2" t="s">
        <v>358</v>
      </c>
      <c r="H77" s="1" t="s">
        <v>93</v>
      </c>
      <c r="I77" s="1"/>
      <c r="J77">
        <f>D77*$F$76</f>
        <v>6000</v>
      </c>
    </row>
    <row r="78" spans="4:10" x14ac:dyDescent="0.45">
      <c r="D78" s="6">
        <v>0.5</v>
      </c>
      <c r="E78" t="s">
        <v>48</v>
      </c>
      <c r="F78" t="s">
        <v>50</v>
      </c>
      <c r="G78" s="2" t="s">
        <v>49</v>
      </c>
      <c r="H78" s="1">
        <v>0.1038</v>
      </c>
      <c r="I78" s="1">
        <v>0.19389999999999999</v>
      </c>
      <c r="J78">
        <f>D78*$F$76</f>
        <v>15000</v>
      </c>
    </row>
    <row r="79" spans="4:10" x14ac:dyDescent="0.45">
      <c r="D79" s="6">
        <v>0.15</v>
      </c>
      <c r="E79" t="s">
        <v>253</v>
      </c>
      <c r="F79" t="s">
        <v>254</v>
      </c>
      <c r="G79" s="2" t="s">
        <v>252</v>
      </c>
      <c r="H79" s="1">
        <v>9.35E-2</v>
      </c>
      <c r="I79" s="1">
        <v>-1.0800000000000001E-2</v>
      </c>
      <c r="J79">
        <f>D79*$F$76</f>
        <v>4500</v>
      </c>
    </row>
    <row r="80" spans="4:10" x14ac:dyDescent="0.45">
      <c r="D80" s="6">
        <v>0.15</v>
      </c>
      <c r="E80" t="s">
        <v>374</v>
      </c>
      <c r="J80">
        <f>D80*$F$76</f>
        <v>4500</v>
      </c>
    </row>
    <row r="81" spans="4:10" x14ac:dyDescent="0.45">
      <c r="D81" s="6"/>
    </row>
    <row r="82" spans="4:10" x14ac:dyDescent="0.45">
      <c r="D82" s="6"/>
    </row>
    <row r="83" spans="4:10" x14ac:dyDescent="0.45">
      <c r="D83" s="6"/>
    </row>
    <row r="84" spans="4:10" x14ac:dyDescent="0.45">
      <c r="E84" t="s">
        <v>354</v>
      </c>
      <c r="F84">
        <f>I58</f>
        <v>12000</v>
      </c>
    </row>
    <row r="85" spans="4:10" x14ac:dyDescent="0.45">
      <c r="E85" s="15" t="s">
        <v>282</v>
      </c>
      <c r="F85" s="15" t="s">
        <v>281</v>
      </c>
      <c r="G85" s="16" t="s">
        <v>141</v>
      </c>
      <c r="H85" s="17">
        <v>1.49E-2</v>
      </c>
      <c r="I85" s="17">
        <v>5.2699999999999997E-2</v>
      </c>
      <c r="J85">
        <f>$F$84/4</f>
        <v>3000</v>
      </c>
    </row>
    <row r="86" spans="4:10" x14ac:dyDescent="0.45">
      <c r="E86" s="15" t="s">
        <v>34</v>
      </c>
      <c r="F86" s="15" t="s">
        <v>36</v>
      </c>
      <c r="G86" s="16" t="s">
        <v>35</v>
      </c>
      <c r="H86" s="17">
        <v>1.7399999999999999E-2</v>
      </c>
      <c r="I86" s="17">
        <v>4.9299999999999997E-2</v>
      </c>
      <c r="J86">
        <f t="shared" ref="J86:J88" si="4">$F$84/4</f>
        <v>3000</v>
      </c>
    </row>
    <row r="87" spans="4:10" x14ac:dyDescent="0.45">
      <c r="E87" s="22" t="s">
        <v>303</v>
      </c>
      <c r="F87" s="22" t="s">
        <v>304</v>
      </c>
      <c r="G87" s="23" t="s">
        <v>305</v>
      </c>
      <c r="H87" s="24">
        <v>3.6999999999999998E-2</v>
      </c>
      <c r="I87" s="24">
        <v>0.15629999999999999</v>
      </c>
      <c r="J87">
        <f t="shared" si="4"/>
        <v>3000</v>
      </c>
    </row>
    <row r="88" spans="4:10" x14ac:dyDescent="0.45">
      <c r="E88" s="22" t="s">
        <v>316</v>
      </c>
      <c r="F88" s="22" t="s">
        <v>318</v>
      </c>
      <c r="G88" s="23" t="s">
        <v>317</v>
      </c>
      <c r="H88" s="24">
        <v>2.5899999999999999E-2</v>
      </c>
      <c r="I88" s="24">
        <v>8.4199999999999997E-2</v>
      </c>
      <c r="J88">
        <f t="shared" si="4"/>
        <v>3000</v>
      </c>
    </row>
    <row r="98" spans="12:12" x14ac:dyDescent="0.45">
      <c r="L98" t="s">
        <v>368</v>
      </c>
    </row>
    <row r="99" spans="12:12" x14ac:dyDescent="0.45">
      <c r="L99">
        <v>125000</v>
      </c>
    </row>
    <row r="101" spans="12:12" x14ac:dyDescent="0.45">
      <c r="L101" t="s">
        <v>369</v>
      </c>
    </row>
    <row r="103" spans="12:12" x14ac:dyDescent="0.45">
      <c r="L103">
        <f>32451/22</f>
        <v>1475.0454545454545</v>
      </c>
    </row>
    <row r="104" spans="12:12" x14ac:dyDescent="0.45">
      <c r="L104">
        <v>600</v>
      </c>
    </row>
    <row r="105" spans="12:12" x14ac:dyDescent="0.45">
      <c r="L105">
        <f>L103+L104</f>
        <v>2075.0454545454545</v>
      </c>
    </row>
    <row r="107" spans="12:12" x14ac:dyDescent="0.45">
      <c r="L107" t="s">
        <v>370</v>
      </c>
    </row>
    <row r="108" spans="12:12" x14ac:dyDescent="0.45">
      <c r="L108">
        <f>800*12</f>
        <v>9600</v>
      </c>
    </row>
    <row r="110" spans="12:12" x14ac:dyDescent="0.45">
      <c r="L110">
        <f>L108-L105</f>
        <v>7524.954545454546</v>
      </c>
    </row>
    <row r="112" spans="12:12" x14ac:dyDescent="0.45">
      <c r="L112" s="26">
        <f>L110/L99</f>
        <v>6.0199636363636365E-2</v>
      </c>
    </row>
  </sheetData>
  <hyperlinks>
    <hyperlink ref="G4" r:id="rId1" xr:uid="{BC138C6D-C4E1-45CD-A331-3755556BAF53}"/>
    <hyperlink ref="F26" r:id="rId2" xr:uid="{264E3CC9-A804-4A25-B31F-5D20EB9ED257}"/>
    <hyperlink ref="F24" r:id="rId3" xr:uid="{78A50858-D57C-4045-B10A-28F3C2665ED5}"/>
    <hyperlink ref="F25" r:id="rId4" xr:uid="{79F0E487-5314-44B1-85F3-165B02022EF6}"/>
    <hyperlink ref="D28" r:id="rId5" xr:uid="{33B0D77B-D8E9-439F-B41B-A3AFEFE25F04}"/>
    <hyperlink ref="D29" r:id="rId6" xr:uid="{CDC8164E-79EF-413A-8E8B-C3C500888DB8}"/>
    <hyperlink ref="F38" r:id="rId7" xr:uid="{BBD2AF2E-28C8-4402-9F04-A77DEF2BACEC}"/>
    <hyperlink ref="D45" r:id="rId8" xr:uid="{C0CEC0C4-BF1E-48B6-B64A-77837ED0DA43}"/>
    <hyperlink ref="F27" r:id="rId9" xr:uid="{E7823204-D0B9-4DBC-8269-D945913B5328}"/>
    <hyperlink ref="D42" r:id="rId10" xr:uid="{FB973C93-6519-4FFF-AA71-895666672439}"/>
    <hyperlink ref="J37" r:id="rId11" xr:uid="{C6497019-FC18-4BF1-AB1C-FF07B7789ED4}"/>
    <hyperlink ref="G67" r:id="rId12" xr:uid="{43D0DBF1-6F02-4188-BA79-535245EDB498}"/>
    <hyperlink ref="G66" r:id="rId13" xr:uid="{A65A90E2-80E6-4C28-BAFB-4578F5D8E5A8}"/>
    <hyperlink ref="G71" r:id="rId14" xr:uid="{B2975F62-8B4E-46F9-9826-1ADD0655406F}"/>
    <hyperlink ref="G72" r:id="rId15" xr:uid="{11E78408-B2E8-4865-ABA2-56F20A788011}"/>
    <hyperlink ref="G68" r:id="rId16" xr:uid="{C1F0AFC6-2D5F-4C12-AE57-74D465A3EFAA}"/>
    <hyperlink ref="G73" r:id="rId17" xr:uid="{4D4774DC-8604-4758-85F2-B6937C42D027}"/>
    <hyperlink ref="G85" r:id="rId18" xr:uid="{C9E335E7-CADD-4C03-AD69-86EE27AF6BD7}"/>
    <hyperlink ref="G86" r:id="rId19" xr:uid="{4F955815-88B1-4697-A539-6F933A432DD8}"/>
    <hyperlink ref="G87" r:id="rId20" xr:uid="{A0242591-748D-49B0-9A15-F6DB03AD12BB}"/>
    <hyperlink ref="G88" r:id="rId21" xr:uid="{C1724B94-FD5E-4199-8B80-3B4D6587B0CC}"/>
    <hyperlink ref="G63" r:id="rId22" xr:uid="{DDB2F822-729B-427F-8FAE-1B147ECFE627}"/>
    <hyperlink ref="E74" r:id="rId23" display="https://www.finect.com/fondos-inversion/ES0140072002-Abaco_renta_fija_mixta_global_i_fi" xr:uid="{CC9CFBFC-D1A7-4B35-97AC-395CC24E266E}"/>
    <hyperlink ref="G74" r:id="rId24" xr:uid="{2F9E476A-5D29-4BAC-983A-143431090713}"/>
    <hyperlink ref="G78" r:id="rId25" xr:uid="{B0C6EF79-805A-4093-8577-DC3FA5F139EF}"/>
    <hyperlink ref="G79" r:id="rId26" xr:uid="{1DFCFFA4-B731-4DF5-AFAB-291FE37FC77F}"/>
  </hyperlinks>
  <pageMargins left="0.7" right="0.7" top="0.75" bottom="0.75" header="0.3" footer="0.3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Monetarios</vt:lpstr>
      <vt:lpstr>RF corto plazo</vt:lpstr>
      <vt:lpstr>RF medio plazo</vt:lpstr>
      <vt:lpstr>Renta Variable</vt:lpstr>
      <vt:lpstr>Renta Fija largo plazo</vt:lpstr>
      <vt:lpstr>ETFs</vt:lpstr>
      <vt:lpstr>Mixtos</vt:lpstr>
      <vt:lpstr>Alternativos</vt:lpstr>
      <vt:lpstr>Revisar</vt:lpstr>
      <vt:lpstr>Cartera1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gonzalez serrano</dc:creator>
  <cp:lastModifiedBy>JOSE GONZALEZ SERRANO</cp:lastModifiedBy>
  <dcterms:created xsi:type="dcterms:W3CDTF">2015-06-05T18:19:34Z</dcterms:created>
  <dcterms:modified xsi:type="dcterms:W3CDTF">2026-01-07T16:56:30Z</dcterms:modified>
</cp:coreProperties>
</file>